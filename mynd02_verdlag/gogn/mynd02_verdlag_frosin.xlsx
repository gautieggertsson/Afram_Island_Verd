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227be289e449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dbeiningar" sheetId="1" r:id="R20df9811d51348fd"/>
    <x:sheet xmlns:r="http://schemas.openxmlformats.org/officeDocument/2006/relationships" name="Heimildir" sheetId="2" r:id="R302903d135074607"/>
    <x:sheet xmlns:r="http://schemas.openxmlformats.org/officeDocument/2006/relationships" name="Verdlag_PLI" sheetId="3" r:id="Ra02436a263454cc5"/>
    <x:sheet xmlns:r="http://schemas.openxmlformats.org/officeDocument/2006/relationships" name="SILC_tekjur" sheetId="4" r:id="R3f2206a04f2b450f"/>
    <x:sheet xmlns:r="http://schemas.openxmlformats.org/officeDocument/2006/relationships" name="IS_framreikningur" sheetId="5" r:id="R300f7d624c7142e1"/>
    <x:sheet xmlns:r="http://schemas.openxmlformats.org/officeDocument/2006/relationships" name="Inntak_myndar" sheetId="6" r:id="Rf565b43ab4974540"/>
    <x:sheet xmlns:r="http://schemas.openxmlformats.org/officeDocument/2006/relationships" name="Utreikningur" sheetId="7" r:id="Rf73fec0e26f149a1"/>
    <x:sheet xmlns:r="http://schemas.openxmlformats.org/officeDocument/2006/relationships" name="Kontext_samanburdur" sheetId="8" r:id="Ra6fe5363f5d54ee8"/>
    <x:sheet xmlns:r="http://schemas.openxmlformats.org/officeDocument/2006/relationships" name="Gengi_og_afstemming" sheetId="9" r:id="R6e6afe5d08814283"/>
    <x:sheet xmlns:r="http://schemas.openxmlformats.org/officeDocument/2006/relationships" name="Myndgogn" sheetId="10" r:id="R01d165efc2214a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"/>
    <x:numFmt numFmtId="201" formatCode="0.0"/>
    <x:numFmt numFmtId="202" formatCode="#,##0.00"/>
    <x:numFmt numFmtId="203" formatCode="#,##0.000000"/>
    <x:numFmt numFmtId="204" formatCode="0.000000000"/>
    <x:numFmt numFmtId="205" formatCode="0.0000"/>
    <x:numFmt numFmtId="206" formatCode="0.0%"/>
    <x:numFmt numFmtId="207" formatCode="0.0000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E6875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B"/>
      </x:patternFill>
    </x:fill>
    <x:fill>
      <x:patternFill patternType="solid">
        <x:fgColor rgb="FF2A78D6"/>
      </x:patternFill>
    </x:fill>
    <x:fill>
      <x:patternFill patternType="solid">
        <x:fgColor rgb="FFFFF5D6"/>
      </x:patternFill>
    </x:fill>
    <x:fill>
      <x:patternFill patternType="solid">
        <x:fgColor rgb="FFFBE9E7"/>
      </x:patternFill>
    </x:fill>
  </x:fills>
  <x:borders count="2">
    <x:border/>
    <x:border>
      <x:left style="thin">
        <x:color rgb="FFD5DAE1"/>
      </x:left>
      <x:right style="thin">
        <x:color rgb="FFD5DAE1"/>
      </x:right>
      <x:top style="thin">
        <x:color rgb="FFD5DAE1"/>
      </x:top>
      <x:bottom style="thin">
        <x:color rgb="FFD5DAE1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205" fontId="0" fillId="0" borderId="1" xfId="0" applyNumberFormat="1" applyFont="1" applyFill="1" applyBorder="1" applyAlignment="1">
      <x:alignment vertical="center"/>
    </x:xf>
    <x:xf numFmtId="206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203" fontId="0" fillId="5" borderId="1" xfId="0" applyNumberFormat="1" applyFont="1" applyFill="1" applyBorder="1" applyAlignment="1">
      <x:alignment vertical="center"/>
    </x:xf>
    <x:xf numFmtId="204" fontId="0" fillId="5" borderId="1" xfId="0" applyNumberFormat="1" applyFont="1" applyFill="1" applyBorder="1" applyAlignment="1">
      <x:alignment vertical="center"/>
    </x:xf>
    <x:xf numFmtId="205" fontId="0" fillId="5" borderId="1" xfId="0" applyNumberFormat="1" applyFont="1" applyFill="1" applyBorder="1" applyAlignment="1">
      <x:alignment vertical="center"/>
    </x:xf>
    <x:xf numFmtId="206" fontId="0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 wrapText="1"/>
    </x:xf>
    <x:xf numFmtId="204" fontId="0" fillId="0" borderId="1" xfId="0" applyNumberFormat="1" applyFont="1" applyFill="1" applyBorder="1" applyAlignment="1">
      <x:alignment vertical="center" wrapText="1"/>
    </x:xf>
    <x:xf numFmtId="205" fontId="0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3" fontId="0" fillId="5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4" fontId="0" fillId="5" borderId="1" xfId="0" applyNumberFormat="1" applyFont="1" applyFill="1" applyBorder="1" applyAlignment="1">
      <x:alignment vertical="center" wrapText="1"/>
    </x:xf>
    <x:xf numFmtId="205" fontId="0" fillId="5" borderId="1" xfId="0" applyNumberFormat="1" applyFont="1" applyFill="1" applyBorder="1" applyAlignment="1">
      <x:alignment vertical="center" wrapText="1"/>
    </x:xf>
    <x:xf numFmtId="206" fontId="0" fillId="5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/>
    </x:xf>
    <x:xf numFmtId="203" fontId="0" fillId="6" borderId="1" xfId="0" applyNumberFormat="1" applyFont="1" applyFill="1" applyBorder="1" applyAlignment="1">
      <x:alignment vertical="center"/>
    </x:xf>
    <x:xf numFmtId="201" fontId="0" fillId="6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203" fontId="0" fillId="3" borderId="1" xfId="0" applyNumberFormat="1" applyFont="1" applyFill="1" applyBorder="1" applyAlignment="1">
      <x:alignment vertical="center"/>
    </x:xf>
    <x:xf numFmtId="201" fontId="0" fillId="3" borderId="1" xfId="0" applyNumberFormat="1" applyFont="1" applyFill="1" applyBorder="1" applyAlignment="1">
      <x:alignment vertical="center"/>
    </x:xf>
    <x:xf numFmtId="207" fontId="0" fillId="0" borderId="1" xfId="0" applyNumberFormat="1" applyFont="1" applyFill="1" applyBorder="1" applyAlignment="1">
      <x:alignment vertical="center"/>
    </x:xf>
    <x:xf numFmtId="202" fontId="0" fillId="6" borderId="1" xfId="0" applyNumberFormat="1" applyFont="1" applyFill="1" applyBorder="1" applyAlignment="1">
      <x:alignment vertical="center"/>
    </x:xf>
    <x:xf numFmtId="207" fontId="0" fillId="6" borderId="1" xfId="0" applyNumberFormat="1" applyFont="1" applyFill="1" applyBorder="1" applyAlignment="1">
      <x:alignment vertical="center"/>
    </x:xf>
    <x:xf numFmtId="205" fontId="0" fillId="6" borderId="1" xfId="0" applyNumberFormat="1" applyFont="1" applyFill="1" applyBorder="1" applyAlignment="1">
      <x:alignment vertical="center"/>
    </x:xf>
    <x:xf numFmtId="200" fontId="0" fillId="6" borderId="1" xfId="0" applyNumberFormat="1" applyFont="1" applyFill="1" applyBorder="1" applyAlignment="1">
      <x:alignment vertical="center"/>
    </x:xf>
    <x:xf numFmtId="202" fontId="0" fillId="3" borderId="1" xfId="0" applyNumberFormat="1" applyFont="1" applyFill="1" applyBorder="1" applyAlignment="1">
      <x:alignment vertical="center"/>
    </x:xf>
    <x:xf numFmtId="207" fontId="0" fillId="3" borderId="1" xfId="0" applyNumberFormat="1" applyFont="1" applyFill="1" applyBorder="1" applyAlignment="1">
      <x:alignment vertical="center"/>
    </x:xf>
    <x:xf numFmtId="205" fontId="0" fillId="3" borderId="1" xfId="0" applyNumberFormat="1" applyFont="1" applyFill="1" applyBorder="1" applyAlignment="1">
      <x:alignment vertical="center"/>
    </x:xf>
    <x:xf numFmtId="200" fontId="0" fillId="5" borderId="1" xfId="0" applyNumberFormat="1" applyFont="1" applyFill="1" applyBorder="1" applyAlignment="1">
      <x:alignment vertical="center"/>
    </x:xf>
    <x:xf numFmtId="207" fontId="0" fillId="5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b40e86ba7245d3" /><Relationship Type="http://schemas.openxmlformats.org/officeDocument/2006/relationships/theme" Target="/xl/theme/theme1.xml" Id="Re048d218990a4bd9" /><Relationship Type="http://schemas.openxmlformats.org/officeDocument/2006/relationships/sharedStrings" Target="/xl/sharedStrings.xml" Id="R2989a01306cc4ffc" /><Relationship Type="http://schemas.openxmlformats.org/officeDocument/2006/relationships/worksheet" Target="/xl/worksheets/sheet1.xml" Id="R20df9811d51348fd" /><Relationship Type="http://schemas.openxmlformats.org/officeDocument/2006/relationships/worksheet" Target="/xl/worksheets/sheet2.xml" Id="R302903d135074607" /><Relationship Type="http://schemas.openxmlformats.org/officeDocument/2006/relationships/worksheet" Target="/xl/worksheets/sheet3.xml" Id="Ra02436a263454cc5" /><Relationship Type="http://schemas.openxmlformats.org/officeDocument/2006/relationships/worksheet" Target="/xl/worksheets/sheet4.xml" Id="R3f2206a04f2b450f" /><Relationship Type="http://schemas.openxmlformats.org/officeDocument/2006/relationships/worksheet" Target="/xl/worksheets/sheet5.xml" Id="R300f7d624c7142e1" /><Relationship Type="http://schemas.openxmlformats.org/officeDocument/2006/relationships/worksheet" Target="/xl/worksheets/sheet6.xml" Id="Rf565b43ab4974540" /><Relationship Type="http://schemas.openxmlformats.org/officeDocument/2006/relationships/worksheet" Target="/xl/worksheets/sheet7.xml" Id="Rf73fec0e26f149a1" /><Relationship Type="http://schemas.openxmlformats.org/officeDocument/2006/relationships/worksheet" Target="/xl/worksheets/sheet8.xml" Id="Ra6fe5363f5d54ee8" /><Relationship Type="http://schemas.openxmlformats.org/officeDocument/2006/relationships/worksheet" Target="/xl/worksheets/sheet9.xml" Id="R6e6afe5d08814283" /><Relationship Type="http://schemas.openxmlformats.org/officeDocument/2006/relationships/worksheet" Target="/xl/worksheets/sheet10.xml" Id="R01d165efc2214a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4" hidden="0" customWidth="1"/>
  </x:cols>
  <x:sheetData>
    <x:row r="1" ht="19.200000762939453" hidden="0" customHeight="1">
      <x:c r="A1" s="3" t="str">
        <x:v>Mynd 2: fryst gagnavinnubók</x:v>
      </x:c>
      <x:c r="B1" s="3" t="str">
        <x:v>Mynd 2: fryst gagnavinnubók</x:v>
      </x:c>
      <x:c r="C1" s="3" t="str">
        <x:v>Mynd 2: fryst gagnavinnubók</x:v>
      </x:c>
      <x:c r="D1" s="3" t="str">
        <x:v>Mynd 2: fryst gagnavinnubók</x:v>
      </x:c>
      <x:c r="E1" s="3" t="str">
        <x:v>Mynd 2: fryst gagnavinnubók</x:v>
      </x:c>
      <x:c r="F1" s="3" t="str">
        <x:v>Mynd 2: fryst gagnavinnubók</x:v>
      </x:c>
    </x:row>
    <x:row r="2" ht="32" customHeight="1">
      <x:c r="A2" s="7" t="str">
        <x:v>Endurgerð kvarða Áfram Íslands og hefðbundinn verðlagsvísir einkaneyslu heimila</x:v>
      </x:c>
      <x:c r="B2" s="7" t="str">
        <x:v>Endurgerð kvarða Áfram Íslands og hefðbundinn verðlagsvísir einkaneyslu heimila</x:v>
      </x:c>
      <x:c r="C2" s="7" t="str">
        <x:v>Endurgerð kvarða Áfram Íslands og hefðbundinn verðlagsvísir einkaneyslu heimila</x:v>
      </x:c>
      <x:c r="D2" s="7" t="str">
        <x:v>Endurgerð kvarða Áfram Íslands og hefðbundinn verðlagsvísir einkaneyslu heimila</x:v>
      </x:c>
      <x:c r="E2" s="7" t="str">
        <x:v>Endurgerð kvarða Áfram Íslands og hefðbundinn verðlagsvísir einkaneyslu heimila</x:v>
      </x:c>
      <x:c r="F2" s="7" t="str">
        <x:v>Endurgerð kvarða Áfram Íslands og hefðbundinn verðlagsvísir einkaneyslu heimila</x:v>
      </x:c>
    </x:row>
    <x:row r="4">
      <x:c r="A4" s="12" t="str">
        <x:v>Atriði</x:v>
      </x:c>
      <x:c r="B4" s="12" t="str">
        <x:v>Lýsing</x:v>
      </x:c>
    </x:row>
    <x:row r="5">
      <x:c r="A5" s="15" t="str">
        <x:v>Vinstri hlið</x:v>
      </x:c>
      <x:c r="B5" s="16" t="str">
        <x:v>A01, einstaklingsbundin neysla, deilt með hlutfallslegu miðgildi jafngildra ráðstöfunartekna. ESB-27=100. Gildi eru birt sem heiltölur eins og á frumglærunni.</x:v>
      </x:c>
    </x:row>
    <x:row r="6">
      <x:c r="A6" s="15" t="str">
        <x:v>Hægri hlið</x:v>
      </x:c>
      <x:c r="B6" s="16" t="str">
        <x:v>E011, einkaneysluútgjöld heimila, án tekjudeilingar. Þetta er verðlagsröðin sem fyrri útgáfa greinarinnar notaði; Ísland er 161,7.</x:v>
      </x:c>
    </x:row>
    <x:row r="7">
      <x:c r="A7" s="15" t="str">
        <x:v>Hugtakamunur</x:v>
      </x:c>
      <x:c r="B7" s="16" t="str">
        <x:v>A01 nær einnig yfir einstaklingsbundna þjónustu sem hið opinbera og félagasamtök greiða. E011 nær til útgjalda heimilanna sjálfra. Því má ekki kalla raðirnar sama verðlagsvísi.</x:v>
      </x:c>
    </x:row>
    <x:row r="8">
      <x:c r="A8" s="15" t="str">
        <x:v>Samanburðarhópur</x:v>
      </x:c>
      <x:c r="B8" s="16" t="str">
        <x:v>ESB-ríkin 27 og Ísland. Noregur er aðeins varðveittur til sannprófunar á frumglærunni.</x:v>
      </x:c>
    </x:row>
    <x:row r="9">
      <x:c r="A9" s="15" t="str">
        <x:v>Ísland</x:v>
      </x:c>
      <x:c r="B9" s="16" t="str">
        <x:v>Birtu gildin endurgerast með því að framreikna SILC time=2020 með vexti heildarráðstöfunartekna heimila í bráðabirgðavintage Hagstofunnar 4.4.2025 og breyta í evrur með meðalgengi SÍ 2024. Frumglæran birtir ekki formúluna.</x:v>
      </x:c>
    </x:row>
    <x:row r="10">
      <x:c r="A10" s="15" t="str">
        <x:v>Ungverjaland</x:v>
      </x:c>
      <x:c r="B10" s="16" t="str">
        <x:v>Núverandi Eurostat-tekjugildi, 8.488 evrur, endurgerir ekki sex birtu reiti landsins. Sameiginlegt tekjubil sem endurgerir þá alla er 8800.30–8829.56 evrur; lokaendurgerðin notar afleidda heiltölugildið 8.815 evrur. Bæði gildin eru varðveitt.</x:v>
      </x:c>
    </x:row>
    <x:row r="11">
      <x:c r="A11" s="15" t="str">
        <x:v>Aðferðafræðilegt frávik</x:v>
      </x:c>
      <x:c r="B11" s="16" t="str">
        <x:v>Sá framreikningur sem endurgerir glæruna notar vöxt heildarráðstöfunartekna til að framreikna miðgildi jafngildra ráðstöfunartekna. Miðað við næmnipróf með vexti á mann hækkar fólksfjölgun framreiknaða nefnarann um 8,6%.</x:v>
      </x:c>
    </x:row>
    <x:row r="12">
      <x:c r="A12" s="15" t="str">
        <x:v>Tímatilfærsla</x:v>
      </x:c>
      <x:c r="B12" s="16" t="str">
        <x:v>Eurostat ilc_di03 time=2024 er könnunarár; tekjuviðmið er almennt árið 2023. time=2020 fyrir Ísland vísar almennt til tekna 2019.</x:v>
      </x:c>
    </x:row>
    <x:row r="13">
      <x:c r="A13" s="15" t="str">
        <x:v>Endurgerð</x:v>
      </x:c>
      <x:c r="B13" s="16" t="str">
        <x:v>Myndakóðinn les aðeins þessa frosnu vinnubók. Allar slóðir, síur, SHA-256 og sóttímar eru í lysigogn/manifest.json.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4" hidden="0" customWidth="1"/>
    <x:col min="4" max="4" width="34" hidden="0" customWidth="1"/>
    <x:col min="5" max="5" width="55" hidden="0" customWidth="1"/>
    <x:col min="6" max="6" width="16" hidden="0" customWidth="1"/>
    <x:col min="7" max="7" width="64" hidden="0" customWidth="1"/>
  </x:cols>
  <x:sheetData>
    <x:row r="1" ht="30" customHeight="1">
      <x:c r="A1" s="3" t="str">
        <x:v>Heimildir og talnaröð</x:v>
      </x:c>
      <x:c r="B1" s="3" t="str">
        <x:v>Heimildir og talnaröð</x:v>
      </x:c>
      <x:c r="C1" s="3" t="str">
        <x:v>Heimildir og talnaröð</x:v>
      </x:c>
      <x:c r="D1" s="3" t="str">
        <x:v>Heimildir og talnaröð</x:v>
      </x:c>
      <x:c r="E1" s="3" t="str">
        <x:v>Heimildir og talnaröð</x:v>
      </x:c>
      <x:c r="F1" s="3" t="str">
        <x:v>Heimildir og talnaröð</x:v>
      </x:c>
      <x:c r="G1" s="3" t="str">
        <x:v>Heimildir og talnaröð</x:v>
      </x:c>
    </x:row>
    <x:row r="2" ht="32" customHeight="1">
      <x:c r="A2" s="7" t="str">
        <x:v>Nákvæm auðkenni, síur og varanlegar slóðir</x:v>
      </x:c>
      <x:c r="B2" s="7" t="str">
        <x:v>Nákvæm auðkenni, síur og varanlegar slóðir</x:v>
      </x:c>
      <x:c r="C2" s="7" t="str">
        <x:v>Nákvæm auðkenni, síur og varanlegar slóðir</x:v>
      </x:c>
      <x:c r="D2" s="7" t="str">
        <x:v>Nákvæm auðkenni, síur og varanlegar slóðir</x:v>
      </x:c>
      <x:c r="E2" s="7" t="str">
        <x:v>Nákvæm auðkenni, síur og varanlegar slóðir</x:v>
      </x:c>
      <x:c r="F2" s="7" t="str">
        <x:v>Nákvæm auðkenni, síur og varanlegar slóðir</x:v>
      </x:c>
      <x:c r="G2" s="7" t="str">
        <x:v>Nákvæm auðkenni, síur og varanlegar slóðir</x:v>
      </x:c>
    </x:row>
    <x:row r="4">
      <x:c r="A4" s="12" t="str">
        <x:v>Skammstöfun</x:v>
      </x:c>
      <x:c r="B4" s="12" t="str">
        <x:v>Stofnun</x:v>
      </x:c>
      <x:c r="C4" s="12" t="str">
        <x:v>Gagnasafn/röð</x:v>
      </x:c>
      <x:c r="D4" s="12" t="str">
        <x:v>Hagfræðilegt heiti</x:v>
      </x:c>
      <x:c r="E4" s="12" t="str">
        <x:v>Síur/kennikóðar</x:v>
      </x:c>
      <x:c r="F4" s="12" t="str">
        <x:v>Tímabil</x:v>
      </x:c>
      <x:c r="G4" s="12" t="str">
        <x:v>Slóð</x:v>
      </x:c>
    </x:row>
    <x:row r="5">
      <x:c r="A5" s="17" t="str">
        <x:v>ESTAT-PLI</x:v>
      </x:c>
      <x:c r="B5" s="16" t="str">
        <x:v>Eurostat</x:v>
      </x:c>
      <x:c r="C5" s="16" t="str">
        <x:v>prc_ppp_ind</x:v>
      </x:c>
      <x:c r="D5" s="16" t="str">
        <x:v>Verðlagsvísar, ESB-27=100; A01=einstaklingsbundin neysla, E011=einkaneysluútgjöld heimila</x:v>
      </x:c>
      <x:c r="E5" s="16" t="str">
        <x:v>freq=A; na_item=PLI_EU27_2020; ppp_cat=A01,A0101,A0103,A010405,A010703,A0111,E011</x:v>
      </x:c>
      <x:c r="F5" s="16" t="str">
        <x:v>2024</x:v>
      </x:c>
      <x:c r="G5" s="16" t="str">
        <x:v>https://doi.org/10.2908/PRC_PPP_IND</x:v>
      </x:c>
    </x:row>
    <x:row r="6">
      <x:c r="A6" s="17" t="str">
        <x:v>ESTAT-SILC</x:v>
      </x:c>
      <x:c r="B6" s="16" t="str">
        <x:v>Eurostat</x:v>
      </x:c>
      <x:c r="C6" s="16" t="str">
        <x:v>ilc_di03</x:v>
      </x:c>
      <x:c r="D6" s="16" t="str">
        <x:v>Median equivalised income (MED_EI); miðgildi jafngildra ráðstöfunartekna í texta</x:v>
      </x:c>
      <x:c r="E6" s="16" t="str">
        <x:v>freq=A; age=TOTAL; sex=T; statinfo=MED_EI; unit=EUR</x:v>
      </x:c>
      <x:c r="F6" s="16" t="str">
        <x:v>time=2024</x:v>
      </x:c>
      <x:c r="G6" s="16" t="str">
        <x:v>https://doi.org/10.2908/ILC_DI03</x:v>
      </x:c>
    </x:row>
    <x:row r="7">
      <x:c r="A7" s="17" t="str">
        <x:v>ESTAT-SILC-IS</x:v>
      </x:c>
      <x:c r="B7" s="16" t="str">
        <x:v>Eurostat</x:v>
      </x:c>
      <x:c r="C7" s="16" t="str">
        <x:v>ilc_di03</x:v>
      </x:c>
      <x:c r="D7" s="16" t="str">
        <x:v>Síðasta íslenska miðgildið</x:v>
      </x:c>
      <x:c r="E7" s="16" t="str">
        <x:v>geo=IS; time=2020; MED_EI; unit=NAC/EUR/PPS</x:v>
      </x:c>
      <x:c r="F7" s="16" t="str">
        <x:v>2020</x:v>
      </x:c>
      <x:c r="G7" s="16" t="str">
        <x:v>https://doi.org/10.2908/ILC_DI03</x:v>
      </x:c>
    </x:row>
    <x:row r="8">
      <x:c r="A8" s="17" t="str">
        <x:v>HAG-VIS06125</x:v>
      </x:c>
      <x:c r="B8" s="16" t="str">
        <x:v>Hagstofa Íslands</x:v>
      </x:c>
      <x:c r="C8" s="16" t="str">
        <x:v>VIS06125</x:v>
      </x:c>
      <x:c r="D8" s="16" t="str">
        <x:v>Opinber íslensk heiti: A01 einstaklingsbundin neysla; E011 einkaneysluútgjöld heimila</x:v>
      </x:c>
      <x:c r="E8" s="16" t="str">
        <x:v>orðskýring; frumgögn frá Eurostat</x:v>
      </x:c>
      <x:c r="F8" s="16" t="str">
        <x:v>1995–2024</x:v>
      </x:c>
      <x:c r="G8" s="16" t="str">
        <x:v>https://px.hagstofa.is/pxis/pxweb/is/Efnahagur/Efnahagur__visitolur__3_verdsamanburdur__verdsamanburdureldra/VIS06125.px</x:v>
      </x:c>
    </x:row>
    <x:row r="9">
      <x:c r="A9" s="17" t="str">
        <x:v>HAG-B6G-2025</x:v>
      </x:c>
      <x:c r="B9" s="16" t="str">
        <x:v>Hagstofa Íslands</x:v>
      </x:c>
      <x:c r="C9" s="16" t="str">
        <x:v>PrrvG/1, fréttarvintage</x:v>
      </x:c>
      <x:c r="D9" s="16" t="str">
        <x:v>Heildarráðstöfunartekjur heimila</x:v>
      </x:c>
      <x:c r="E9" s="16" t="str">
        <x:v>Ráðstöfunartekjur (tekjur - gjöld); S.14; bráðabirgðagögn</x:v>
      </x:c>
      <x:c r="F9" s="16" t="str">
        <x:v>2020, 2024</x:v>
      </x:c>
      <x:c r="G9" s="16" t="str">
        <x:v>https://datawrapper.dwcdn.net/PrrvG/1/dataset.csv</x:v>
      </x:c>
    </x:row>
    <x:row r="10">
      <x:c r="A10" s="17" t="str">
        <x:v>HAG-B6N-NÚ</x:v>
      </x:c>
      <x:c r="B10" s="16" t="str">
        <x:v>Hagstofa Íslands</x:v>
      </x:c>
      <x:c r="C10" s="16" t="str">
        <x:v>THJ06020, Skipting=7, Geiri=S.14</x:v>
      </x:c>
      <x:c r="D10" s="16" t="str">
        <x:v>Hreinar ráðstöfunartekjur heimila, heild</x:v>
      </x:c>
      <x:c r="E10" s="16" t="str">
        <x:v>núverandi endurskoðuð röð; aðeins til afstemmingar</x:v>
      </x:c>
      <x:c r="F10" s="16" t="str">
        <x:v>2000–2024</x:v>
      </x:c>
      <x:c r="G10" s="16" t="str">
        <x:v>https://px.hagstofa.is/pxis/api/v1/is/Efnahagur/thjodhagsreikningar/tekjuskipting/tekjuskipting/THJ06020.px</x:v>
      </x:c>
    </x:row>
    <x:row r="11">
      <x:c r="A11" s="17" t="str">
        <x:v>SÍ-4064</x:v>
      </x:c>
      <x:c r="B11" s="16" t="str">
        <x:v>Seðlabanki Íslands</x:v>
      </x:c>
      <x:c r="C11" s="16" t="str">
        <x:v>TimeSeriesID=4064</x:v>
      </x:c>
      <x:c r="D11" s="16" t="str">
        <x:v>Evra, skráð miðgengi</x:v>
      </x:c>
      <x:c r="E11" s="16" t="str">
        <x:v>dagleg gildi; einfalt meðaltal allra 249 skráningardaga</x:v>
      </x:c>
      <x:c r="F11" s="16" t="str">
        <x:v>2024</x:v>
      </x:c>
      <x:c r="G11" s="16" t="str">
        <x:v>https://www.sedlabanki.is/xmltimeseries/Default.aspx?DagsFra=2024-01-01&amp;DagsTil=2024-12-31&amp;TimeSeriesID=4064&amp;Type=csv</x:v>
      </x:c>
    </x:row>
    <x:row r="12">
      <x:c r="A12" s="17" t="str">
        <x:v>ESTAT-POP</x:v>
      </x:c>
      <x:c r="B12" s="16" t="str">
        <x:v>Eurostat</x:v>
      </x:c>
      <x:c r="C12" s="16" t="str">
        <x:v>demo_pjan</x:v>
      </x:c>
      <x:c r="D12" s="16" t="str">
        <x:v>Mannfjöldi 1. janúar</x:v>
      </x:c>
      <x:c r="E12" s="16" t="str">
        <x:v>freq=A; unit=NR; age=TOTAL; sex=T; geo=IS</x:v>
      </x:c>
      <x:c r="F12" s="16" t="str">
        <x:v>2019–2025 valin ár</x:v>
      </x:c>
      <x:c r="G12" s="16" t="str">
        <x:v>https://doi.org/10.2908/DEMO_PJAN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3" hidden="0" customWidth="1"/>
    <x:col min="4" max="4" width="38" hidden="0" customWidth="1"/>
    <x:col min="5" max="5" width="20" hidden="0" customWidth="1"/>
    <x:col min="6" max="6" width="10" hidden="0" customWidth="1"/>
    <x:col min="7" max="7" width="10" hidden="0" customWidth="1"/>
    <x:col min="8" max="8" width="12" hidden="0" customWidth="1"/>
    <x:col min="9" max="9" width="10" hidden="0" customWidth="1"/>
  </x:cols>
  <x:sheetData>
    <x:row r="1" ht="30" customHeight="1">
      <x:c r="A1" s="3" t="str">
        <x:v>Eurostat-verðvísar 2024</x:v>
      </x:c>
      <x:c r="B1" s="3" t="str">
        <x:v>Eurostat-verðvísar 2024</x:v>
      </x:c>
      <x:c r="C1" s="3" t="str">
        <x:v>Eurostat-verðvísar 2024</x:v>
      </x:c>
      <x:c r="D1" s="3" t="str">
        <x:v>Eurostat-verðvísar 2024</x:v>
      </x:c>
      <x:c r="E1" s="3" t="str">
        <x:v>Eurostat-verðvísar 2024</x:v>
      </x:c>
      <x:c r="F1" s="3" t="str">
        <x:v>Eurostat-verðvísar 2024</x:v>
      </x:c>
      <x:c r="G1" s="3" t="str">
        <x:v>Eurostat-verðvísar 2024</x:v>
      </x:c>
      <x:c r="H1" s="3" t="str">
        <x:v>Eurostat-verðvísar 2024</x:v>
      </x:c>
      <x:c r="I1" s="3" t="str">
        <x:v>Eurostat-verðvísar 2024</x:v>
      </x:c>
    </x:row>
    <x:row r="2" ht="32" customHeight="1">
      <x:c r="A2" s="7" t="str">
        <x:v>prc_ppp_ind; na_item=PLI_EU27_2020; óbreytt gildi og stöðufánar úr frystu JSON-svari</x:v>
      </x:c>
      <x:c r="B2" s="7" t="str">
        <x:v>prc_ppp_ind; na_item=PLI_EU27_2020; óbreytt gildi og stöðufánar úr frystu JSON-svari</x:v>
      </x:c>
      <x:c r="C2" s="7" t="str">
        <x:v>prc_ppp_ind; na_item=PLI_EU27_2020; óbreytt gildi og stöðufánar úr frystu JSON-svari</x:v>
      </x:c>
      <x:c r="D2" s="7" t="str">
        <x:v>prc_ppp_ind; na_item=PLI_EU27_2020; óbreytt gildi og stöðufánar úr frystu JSON-svari</x:v>
      </x:c>
      <x:c r="E2" s="7" t="str">
        <x:v>prc_ppp_ind; na_item=PLI_EU27_2020; óbreytt gildi og stöðufánar úr frystu JSON-svari</x:v>
      </x:c>
      <x:c r="F2" s="7" t="str">
        <x:v>prc_ppp_ind; na_item=PLI_EU27_2020; óbreytt gildi og stöðufánar úr frystu JSON-svari</x:v>
      </x:c>
      <x:c r="G2" s="7" t="str">
        <x:v>prc_ppp_ind; na_item=PLI_EU27_2020; óbreytt gildi og stöðufánar úr frystu JSON-svari</x:v>
      </x:c>
      <x:c r="H2" s="7" t="str">
        <x:v>prc_ppp_ind; na_item=PLI_EU27_2020; óbreytt gildi og stöðufánar úr frystu JSON-svari</x:v>
      </x:c>
      <x:c r="I2" s="7" t="str">
        <x:v>prc_ppp_ind; na_item=PLI_EU27_2020; óbreytt gildi og stöðufánar úr frystu JSON-svari</x:v>
      </x:c>
    </x:row>
    <x:row r="4">
      <x:c r="A4" s="12" t="str">
        <x:v>geo</x:v>
      </x:c>
      <x:c r="B4" s="12" t="str">
        <x:v>land</x:v>
      </x:c>
      <x:c r="C4" s="12" t="str">
        <x:v>ppp_cat</x:v>
      </x:c>
      <x:c r="D4" s="12" t="str">
        <x:v>heiti flokks</x:v>
      </x:c>
      <x:c r="E4" s="12" t="str">
        <x:v>na_item</x:v>
      </x:c>
      <x:c r="F4" s="12" t="str">
        <x:v>freq</x:v>
      </x:c>
      <x:c r="G4" s="12" t="str">
        <x:v>time</x:v>
      </x:c>
      <x:c r="H4" s="12" t="str">
        <x:v>gildi</x:v>
      </x:c>
      <x:c r="I4" s="12" t="str">
        <x:v>status</x:v>
      </x:c>
    </x:row>
    <x:row r="5">
      <x:c r="A5" s="14" t="str">
        <x:v>AT</x:v>
      </x:c>
      <x:c r="B5" s="14" t="str">
        <x:v>Austurríki</x:v>
      </x:c>
      <x:c r="C5" s="14" t="str">
        <x:v>A01</x:v>
      </x:c>
      <x:c r="D5" s="14" t="str">
        <x:v>Actual individual consumption</x:v>
      </x:c>
      <x:c r="E5" s="14" t="str">
        <x:v>PLI_EU27_2020</x:v>
      </x:c>
      <x:c r="F5" s="14" t="str">
        <x:v>A</x:v>
      </x:c>
      <x:c r="G5" s="18" t="n">
        <x:v>2024</x:v>
      </x:c>
      <x:c r="H5" s="19" t="n">
        <x:v>119.7</x:v>
      </x:c>
      <x:c r="I5" s="14" t="str"/>
    </x:row>
    <x:row r="6">
      <x:c r="A6" s="14" t="str">
        <x:v>AT</x:v>
      </x:c>
      <x:c r="B6" s="14" t="str">
        <x:v>Austurríki</x:v>
      </x:c>
      <x:c r="C6" s="14" t="str">
        <x:v>A0101</x:v>
      </x:c>
      <x:c r="D6" s="14" t="str">
        <x:v>Food and non-alcoholic beverages</x:v>
      </x:c>
      <x:c r="E6" s="14" t="str">
        <x:v>PLI_EU27_2020</x:v>
      </x:c>
      <x:c r="F6" s="14" t="str">
        <x:v>A</x:v>
      </x:c>
      <x:c r="G6" s="18" t="n">
        <x:v>2024</x:v>
      </x:c>
      <x:c r="H6" s="19" t="n">
        <x:v>110.5</x:v>
      </x:c>
      <x:c r="I6" s="14" t="str"/>
    </x:row>
    <x:row r="7">
      <x:c r="A7" s="14" t="str">
        <x:v>AT</x:v>
      </x:c>
      <x:c r="B7" s="14" t="str">
        <x:v>Austurríki</x:v>
      </x:c>
      <x:c r="C7" s="14" t="str">
        <x:v>A0103</x:v>
      </x:c>
      <x:c r="D7" s="14" t="str">
        <x:v>Clothing and footwear</x:v>
      </x:c>
      <x:c r="E7" s="14" t="str">
        <x:v>PLI_EU27_2020</x:v>
      </x:c>
      <x:c r="F7" s="14" t="str">
        <x:v>A</x:v>
      </x:c>
      <x:c r="G7" s="18" t="n">
        <x:v>2024</x:v>
      </x:c>
      <x:c r="H7" s="19" t="n">
        <x:v>105.7</x:v>
      </x:c>
      <x:c r="I7" s="14" t="str"/>
    </x:row>
    <x:row r="8">
      <x:c r="A8" s="14" t="str">
        <x:v>AT</x:v>
      </x:c>
      <x:c r="B8" s="14" t="str">
        <x:v>Austurríki</x:v>
      </x:c>
      <x:c r="C8" s="14" t="str">
        <x:v>A010405</x:v>
      </x:c>
      <x:c r="D8" s="14" t="str">
        <x:v>Electricity, gas and other fuels</x:v>
      </x:c>
      <x:c r="E8" s="14" t="str">
        <x:v>PLI_EU27_2020</x:v>
      </x:c>
      <x:c r="F8" s="14" t="str">
        <x:v>A</x:v>
      </x:c>
      <x:c r="G8" s="18" t="n">
        <x:v>2024</x:v>
      </x:c>
      <x:c r="H8" s="19" t="n">
        <x:v>106.6</x:v>
      </x:c>
      <x:c r="I8" s="14" t="str"/>
    </x:row>
    <x:row r="9">
      <x:c r="A9" s="14" t="str">
        <x:v>AT</x:v>
      </x:c>
      <x:c r="B9" s="14" t="str">
        <x:v>Austurríki</x:v>
      </x:c>
      <x:c r="C9" s="14" t="str">
        <x:v>A010703</x:v>
      </x:c>
      <x:c r="D9" s="14" t="str">
        <x:v>Transport services</x:v>
      </x:c>
      <x:c r="E9" s="14" t="str">
        <x:v>PLI_EU27_2020</x:v>
      </x:c>
      <x:c r="F9" s="14" t="str">
        <x:v>A</x:v>
      </x:c>
      <x:c r="G9" s="18" t="n">
        <x:v>2024</x:v>
      </x:c>
      <x:c r="H9" s="19" t="n">
        <x:v>118.2</x:v>
      </x:c>
      <x:c r="I9" s="14" t="str"/>
    </x:row>
    <x:row r="10">
      <x:c r="A10" s="14" t="str">
        <x:v>AT</x:v>
      </x:c>
      <x:c r="B10" s="14" t="str">
        <x:v>Austurríki</x:v>
      </x:c>
      <x:c r="C10" s="14" t="str">
        <x:v>A0111</x:v>
      </x:c>
      <x:c r="D10" s="14" t="str">
        <x:v>Restaurants and hotels</x:v>
      </x:c>
      <x:c r="E10" s="14" t="str">
        <x:v>PLI_EU27_2020</x:v>
      </x:c>
      <x:c r="F10" s="14" t="str">
        <x:v>A</x:v>
      </x:c>
      <x:c r="G10" s="18" t="n">
        <x:v>2024</x:v>
      </x:c>
      <x:c r="H10" s="19" t="n">
        <x:v>110</x:v>
      </x:c>
      <x:c r="I10" s="14" t="str"/>
    </x:row>
    <x:row r="11">
      <x:c r="A11" s="14" t="str">
        <x:v>AT</x:v>
      </x:c>
      <x:c r="B11" s="14" t="str">
        <x:v>Austurríki</x:v>
      </x:c>
      <x:c r="C11" s="14" t="str">
        <x:v>E011</x:v>
      </x:c>
      <x:c r="D11" s="14" t="str">
        <x:v>Household final consumption expenditure</x:v>
      </x:c>
      <x:c r="E11" s="14" t="str">
        <x:v>PLI_EU27_2020</x:v>
      </x:c>
      <x:c r="F11" s="14" t="str">
        <x:v>A</x:v>
      </x:c>
      <x:c r="G11" s="18" t="n">
        <x:v>2024</x:v>
      </x:c>
      <x:c r="H11" s="19" t="n">
        <x:v>112.8</x:v>
      </x:c>
      <x:c r="I11" s="14" t="str"/>
    </x:row>
    <x:row r="12">
      <x:c r="A12" s="14" t="str">
        <x:v>BE</x:v>
      </x:c>
      <x:c r="B12" s="14" t="str">
        <x:v>Belgía</x:v>
      </x:c>
      <x:c r="C12" s="14" t="str">
        <x:v>A01</x:v>
      </x:c>
      <x:c r="D12" s="14" t="str">
        <x:v>Actual individual consumption</x:v>
      </x:c>
      <x:c r="E12" s="14" t="str">
        <x:v>PLI_EU27_2020</x:v>
      </x:c>
      <x:c r="F12" s="14" t="str">
        <x:v>A</x:v>
      </x:c>
      <x:c r="G12" s="18" t="n">
        <x:v>2024</x:v>
      </x:c>
      <x:c r="H12" s="19" t="n">
        <x:v>118.7</x:v>
      </x:c>
      <x:c r="I12" s="14" t="str"/>
    </x:row>
    <x:row r="13">
      <x:c r="A13" s="14" t="str">
        <x:v>BE</x:v>
      </x:c>
      <x:c r="B13" s="14" t="str">
        <x:v>Belgía</x:v>
      </x:c>
      <x:c r="C13" s="14" t="str">
        <x:v>A0101</x:v>
      </x:c>
      <x:c r="D13" s="14" t="str">
        <x:v>Food and non-alcoholic beverages</x:v>
      </x:c>
      <x:c r="E13" s="14" t="str">
        <x:v>PLI_EU27_2020</x:v>
      </x:c>
      <x:c r="F13" s="14" t="str">
        <x:v>A</x:v>
      </x:c>
      <x:c r="G13" s="18" t="n">
        <x:v>2024</x:v>
      </x:c>
      <x:c r="H13" s="19" t="n">
        <x:v>105.3</x:v>
      </x:c>
      <x:c r="I13" s="14" t="str"/>
    </x:row>
    <x:row r="14">
      <x:c r="A14" s="14" t="str">
        <x:v>BE</x:v>
      </x:c>
      <x:c r="B14" s="14" t="str">
        <x:v>Belgía</x:v>
      </x:c>
      <x:c r="C14" s="14" t="str">
        <x:v>A0103</x:v>
      </x:c>
      <x:c r="D14" s="14" t="str">
        <x:v>Clothing and footwear</x:v>
      </x:c>
      <x:c r="E14" s="14" t="str">
        <x:v>PLI_EU27_2020</x:v>
      </x:c>
      <x:c r="F14" s="14" t="str">
        <x:v>A</x:v>
      </x:c>
      <x:c r="G14" s="18" t="n">
        <x:v>2024</x:v>
      </x:c>
      <x:c r="H14" s="19" t="n">
        <x:v>98.2</x:v>
      </x:c>
      <x:c r="I14" s="14" t="str"/>
    </x:row>
    <x:row r="15">
      <x:c r="A15" s="14" t="str">
        <x:v>BE</x:v>
      </x:c>
      <x:c r="B15" s="14" t="str">
        <x:v>Belgía</x:v>
      </x:c>
      <x:c r="C15" s="14" t="str">
        <x:v>A010405</x:v>
      </x:c>
      <x:c r="D15" s="14" t="str">
        <x:v>Electricity, gas and other fuels</x:v>
      </x:c>
      <x:c r="E15" s="14" t="str">
        <x:v>PLI_EU27_2020</x:v>
      </x:c>
      <x:c r="F15" s="14" t="str">
        <x:v>A</x:v>
      </x:c>
      <x:c r="G15" s="18" t="n">
        <x:v>2024</x:v>
      </x:c>
      <x:c r="H15" s="19" t="n">
        <x:v>101.2</x:v>
      </x:c>
      <x:c r="I15" s="14" t="str"/>
    </x:row>
    <x:row r="16">
      <x:c r="A16" s="14" t="str">
        <x:v>BE</x:v>
      </x:c>
      <x:c r="B16" s="14" t="str">
        <x:v>Belgía</x:v>
      </x:c>
      <x:c r="C16" s="14" t="str">
        <x:v>A010703</x:v>
      </x:c>
      <x:c r="D16" s="14" t="str">
        <x:v>Transport services</x:v>
      </x:c>
      <x:c r="E16" s="14" t="str">
        <x:v>PLI_EU27_2020</x:v>
      </x:c>
      <x:c r="F16" s="14" t="str">
        <x:v>A</x:v>
      </x:c>
      <x:c r="G16" s="18" t="n">
        <x:v>2024</x:v>
      </x:c>
      <x:c r="H16" s="19" t="n">
        <x:v>118.1</x:v>
      </x:c>
      <x:c r="I16" s="14" t="str"/>
    </x:row>
    <x:row r="17">
      <x:c r="A17" s="14" t="str">
        <x:v>BE</x:v>
      </x:c>
      <x:c r="B17" s="14" t="str">
        <x:v>Belgía</x:v>
      </x:c>
      <x:c r="C17" s="14" t="str">
        <x:v>A0111</x:v>
      </x:c>
      <x:c r="D17" s="14" t="str">
        <x:v>Restaurants and hotels</x:v>
      </x:c>
      <x:c r="E17" s="14" t="str">
        <x:v>PLI_EU27_2020</x:v>
      </x:c>
      <x:c r="F17" s="14" t="str">
        <x:v>A</x:v>
      </x:c>
      <x:c r="G17" s="18" t="n">
        <x:v>2024</x:v>
      </x:c>
      <x:c r="H17" s="19" t="n">
        <x:v>124.2</x:v>
      </x:c>
      <x:c r="I17" s="14" t="str"/>
    </x:row>
    <x:row r="18">
      <x:c r="A18" s="14" t="str">
        <x:v>BE</x:v>
      </x:c>
      <x:c r="B18" s="14" t="str">
        <x:v>Belgía</x:v>
      </x:c>
      <x:c r="C18" s="14" t="str">
        <x:v>E011</x:v>
      </x:c>
      <x:c r="D18" s="14" t="str">
        <x:v>Household final consumption expenditure</x:v>
      </x:c>
      <x:c r="E18" s="14" t="str">
        <x:v>PLI_EU27_2020</x:v>
      </x:c>
      <x:c r="F18" s="14" t="str">
        <x:v>A</x:v>
      </x:c>
      <x:c r="G18" s="18" t="n">
        <x:v>2024</x:v>
      </x:c>
      <x:c r="H18" s="19" t="n">
        <x:v>116.5</x:v>
      </x:c>
      <x:c r="I18" s="14" t="str"/>
    </x:row>
    <x:row r="19">
      <x:c r="A19" s="14" t="str">
        <x:v>BG</x:v>
      </x:c>
      <x:c r="B19" s="14" t="str">
        <x:v>Búlgaría</x:v>
      </x:c>
      <x:c r="C19" s="14" t="str">
        <x:v>A01</x:v>
      </x:c>
      <x:c r="D19" s="14" t="str">
        <x:v>Actual individual consumption</x:v>
      </x:c>
      <x:c r="E19" s="14" t="str">
        <x:v>PLI_EU27_2020</x:v>
      </x:c>
      <x:c r="F19" s="14" t="str">
        <x:v>A</x:v>
      </x:c>
      <x:c r="G19" s="18" t="n">
        <x:v>2024</x:v>
      </x:c>
      <x:c r="H19" s="19" t="n">
        <x:v>56.9</x:v>
      </x:c>
      <x:c r="I19" s="14" t="str"/>
    </x:row>
    <x:row r="20">
      <x:c r="A20" s="14" t="str">
        <x:v>BG</x:v>
      </x:c>
      <x:c r="B20" s="14" t="str">
        <x:v>Búlgaría</x:v>
      </x:c>
      <x:c r="C20" s="14" t="str">
        <x:v>A0101</x:v>
      </x:c>
      <x:c r="D20" s="14" t="str">
        <x:v>Food and non-alcoholic beverages</x:v>
      </x:c>
      <x:c r="E20" s="14" t="str">
        <x:v>PLI_EU27_2020</x:v>
      </x:c>
      <x:c r="F20" s="14" t="str">
        <x:v>A</x:v>
      </x:c>
      <x:c r="G20" s="18" t="n">
        <x:v>2024</x:v>
      </x:c>
      <x:c r="H20" s="19" t="n">
        <x:v>88.8</x:v>
      </x:c>
      <x:c r="I20" s="14" t="str"/>
    </x:row>
    <x:row r="21">
      <x:c r="A21" s="14" t="str">
        <x:v>BG</x:v>
      </x:c>
      <x:c r="B21" s="14" t="str">
        <x:v>Búlgaría</x:v>
      </x:c>
      <x:c r="C21" s="14" t="str">
        <x:v>A0103</x:v>
      </x:c>
      <x:c r="D21" s="14" t="str">
        <x:v>Clothing and footwear</x:v>
      </x:c>
      <x:c r="E21" s="14" t="str">
        <x:v>PLI_EU27_2020</x:v>
      </x:c>
      <x:c r="F21" s="14" t="str">
        <x:v>A</x:v>
      </x:c>
      <x:c r="G21" s="18" t="n">
        <x:v>2024</x:v>
      </x:c>
      <x:c r="H21" s="19" t="n">
        <x:v>79.1</x:v>
      </x:c>
      <x:c r="I21" s="14" t="str"/>
    </x:row>
    <x:row r="22">
      <x:c r="A22" s="14" t="str">
        <x:v>BG</x:v>
      </x:c>
      <x:c r="B22" s="14" t="str">
        <x:v>Búlgaría</x:v>
      </x:c>
      <x:c r="C22" s="14" t="str">
        <x:v>A010405</x:v>
      </x:c>
      <x:c r="D22" s="14" t="str">
        <x:v>Electricity, gas and other fuels</x:v>
      </x:c>
      <x:c r="E22" s="14" t="str">
        <x:v>PLI_EU27_2020</x:v>
      </x:c>
      <x:c r="F22" s="14" t="str">
        <x:v>A</x:v>
      </x:c>
      <x:c r="G22" s="18" t="n">
        <x:v>2024</x:v>
      </x:c>
      <x:c r="H22" s="19" t="n">
        <x:v>51.8</x:v>
      </x:c>
      <x:c r="I22" s="14" t="str"/>
    </x:row>
    <x:row r="23">
      <x:c r="A23" s="14" t="str">
        <x:v>BG</x:v>
      </x:c>
      <x:c r="B23" s="14" t="str">
        <x:v>Búlgaría</x:v>
      </x:c>
      <x:c r="C23" s="14" t="str">
        <x:v>A010703</x:v>
      </x:c>
      <x:c r="D23" s="14" t="str">
        <x:v>Transport services</x:v>
      </x:c>
      <x:c r="E23" s="14" t="str">
        <x:v>PLI_EU27_2020</x:v>
      </x:c>
      <x:c r="F23" s="14" t="str">
        <x:v>A</x:v>
      </x:c>
      <x:c r="G23" s="18" t="n">
        <x:v>2024</x:v>
      </x:c>
      <x:c r="H23" s="19" t="n">
        <x:v>57.2</x:v>
      </x:c>
      <x:c r="I23" s="14" t="str"/>
    </x:row>
    <x:row r="24">
      <x:c r="A24" s="14" t="str">
        <x:v>BG</x:v>
      </x:c>
      <x:c r="B24" s="14" t="str">
        <x:v>Búlgaría</x:v>
      </x:c>
      <x:c r="C24" s="14" t="str">
        <x:v>A0111</x:v>
      </x:c>
      <x:c r="D24" s="14" t="str">
        <x:v>Restaurants and hotels</x:v>
      </x:c>
      <x:c r="E24" s="14" t="str">
        <x:v>PLI_EU27_2020</x:v>
      </x:c>
      <x:c r="F24" s="14" t="str">
        <x:v>A</x:v>
      </x:c>
      <x:c r="G24" s="18" t="n">
        <x:v>2024</x:v>
      </x:c>
      <x:c r="H24" s="19" t="n">
        <x:v>53.2</x:v>
      </x:c>
      <x:c r="I24" s="14" t="str"/>
    </x:row>
    <x:row r="25">
      <x:c r="A25" s="14" t="str">
        <x:v>BG</x:v>
      </x:c>
      <x:c r="B25" s="14" t="str">
        <x:v>Búlgaría</x:v>
      </x:c>
      <x:c r="C25" s="14" t="str">
        <x:v>E011</x:v>
      </x:c>
      <x:c r="D25" s="14" t="str">
        <x:v>Household final consumption expenditure</x:v>
      </x:c>
      <x:c r="E25" s="14" t="str">
        <x:v>PLI_EU27_2020</x:v>
      </x:c>
      <x:c r="F25" s="14" t="str">
        <x:v>A</x:v>
      </x:c>
      <x:c r="G25" s="18" t="n">
        <x:v>2024</x:v>
      </x:c>
      <x:c r="H25" s="19" t="n">
        <x:v>59.7</x:v>
      </x:c>
      <x:c r="I25" s="14" t="str"/>
    </x:row>
    <x:row r="26">
      <x:c r="A26" s="14" t="str">
        <x:v>CY</x:v>
      </x:c>
      <x:c r="B26" s="14" t="str">
        <x:v>Kýpur</x:v>
      </x:c>
      <x:c r="C26" s="14" t="str">
        <x:v>A01</x:v>
      </x:c>
      <x:c r="D26" s="14" t="str">
        <x:v>Actual individual consumption</x:v>
      </x:c>
      <x:c r="E26" s="14" t="str">
        <x:v>PLI_EU27_2020</x:v>
      </x:c>
      <x:c r="F26" s="14" t="str">
        <x:v>A</x:v>
      </x:c>
      <x:c r="G26" s="18" t="n">
        <x:v>2024</x:v>
      </x:c>
      <x:c r="H26" s="19" t="n">
        <x:v>95.1</x:v>
      </x:c>
      <x:c r="I26" s="14" t="str"/>
    </x:row>
    <x:row r="27">
      <x:c r="A27" s="14" t="str">
        <x:v>CY</x:v>
      </x:c>
      <x:c r="B27" s="14" t="str">
        <x:v>Kýpur</x:v>
      </x:c>
      <x:c r="C27" s="14" t="str">
        <x:v>A0101</x:v>
      </x:c>
      <x:c r="D27" s="14" t="str">
        <x:v>Food and non-alcoholic beverages</x:v>
      </x:c>
      <x:c r="E27" s="14" t="str">
        <x:v>PLI_EU27_2020</x:v>
      </x:c>
      <x:c r="F27" s="14" t="str">
        <x:v>A</x:v>
      </x:c>
      <x:c r="G27" s="18" t="n">
        <x:v>2024</x:v>
      </x:c>
      <x:c r="H27" s="19" t="n">
        <x:v>104.7</x:v>
      </x:c>
      <x:c r="I27" s="14" t="str"/>
    </x:row>
    <x:row r="28">
      <x:c r="A28" s="14" t="str">
        <x:v>CY</x:v>
      </x:c>
      <x:c r="B28" s="14" t="str">
        <x:v>Kýpur</x:v>
      </x:c>
      <x:c r="C28" s="14" t="str">
        <x:v>A0103</x:v>
      </x:c>
      <x:c r="D28" s="14" t="str">
        <x:v>Clothing and footwear</x:v>
      </x:c>
      <x:c r="E28" s="14" t="str">
        <x:v>PLI_EU27_2020</x:v>
      </x:c>
      <x:c r="F28" s="14" t="str">
        <x:v>A</x:v>
      </x:c>
      <x:c r="G28" s="18" t="n">
        <x:v>2024</x:v>
      </x:c>
      <x:c r="H28" s="19" t="n">
        <x:v>97.6</x:v>
      </x:c>
      <x:c r="I28" s="14" t="str"/>
    </x:row>
    <x:row r="29">
      <x:c r="A29" s="14" t="str">
        <x:v>CY</x:v>
      </x:c>
      <x:c r="B29" s="14" t="str">
        <x:v>Kýpur</x:v>
      </x:c>
      <x:c r="C29" s="14" t="str">
        <x:v>A010405</x:v>
      </x:c>
      <x:c r="D29" s="14" t="str">
        <x:v>Electricity, gas and other fuels</x:v>
      </x:c>
      <x:c r="E29" s="14" t="str">
        <x:v>PLI_EU27_2020</x:v>
      </x:c>
      <x:c r="F29" s="14" t="str">
        <x:v>A</x:v>
      </x:c>
      <x:c r="G29" s="18" t="n">
        <x:v>2024</x:v>
      </x:c>
      <x:c r="H29" s="19" t="n">
        <x:v>108.3</x:v>
      </x:c>
      <x:c r="I29" s="14" t="str"/>
    </x:row>
    <x:row r="30">
      <x:c r="A30" s="14" t="str">
        <x:v>CY</x:v>
      </x:c>
      <x:c r="B30" s="14" t="str">
        <x:v>Kýpur</x:v>
      </x:c>
      <x:c r="C30" s="14" t="str">
        <x:v>A010703</x:v>
      </x:c>
      <x:c r="D30" s="14" t="str">
        <x:v>Transport services</x:v>
      </x:c>
      <x:c r="E30" s="14" t="str">
        <x:v>PLI_EU27_2020</x:v>
      </x:c>
      <x:c r="F30" s="14" t="str">
        <x:v>A</x:v>
      </x:c>
      <x:c r="G30" s="18" t="n">
        <x:v>2024</x:v>
      </x:c>
      <x:c r="H30" s="19" t="n">
        <x:v>97.3</x:v>
      </x:c>
      <x:c r="I30" s="14" t="str"/>
    </x:row>
    <x:row r="31">
      <x:c r="A31" s="14" t="str">
        <x:v>CY</x:v>
      </x:c>
      <x:c r="B31" s="14" t="str">
        <x:v>Kýpur</x:v>
      </x:c>
      <x:c r="C31" s="14" t="str">
        <x:v>A0111</x:v>
      </x:c>
      <x:c r="D31" s="14" t="str">
        <x:v>Restaurants and hotels</x:v>
      </x:c>
      <x:c r="E31" s="14" t="str">
        <x:v>PLI_EU27_2020</x:v>
      </x:c>
      <x:c r="F31" s="14" t="str">
        <x:v>A</x:v>
      </x:c>
      <x:c r="G31" s="18" t="n">
        <x:v>2024</x:v>
      </x:c>
      <x:c r="H31" s="19" t="n">
        <x:v>89</x:v>
      </x:c>
      <x:c r="I31" s="14" t="str"/>
    </x:row>
    <x:row r="32">
      <x:c r="A32" s="14" t="str">
        <x:v>CY</x:v>
      </x:c>
      <x:c r="B32" s="14" t="str">
        <x:v>Kýpur</x:v>
      </x:c>
      <x:c r="C32" s="14" t="str">
        <x:v>E011</x:v>
      </x:c>
      <x:c r="D32" s="14" t="str">
        <x:v>Household final consumption expenditure</x:v>
      </x:c>
      <x:c r="E32" s="14" t="str">
        <x:v>PLI_EU27_2020</x:v>
      </x:c>
      <x:c r="F32" s="14" t="str">
        <x:v>A</x:v>
      </x:c>
      <x:c r="G32" s="18" t="n">
        <x:v>2024</x:v>
      </x:c>
      <x:c r="H32" s="19" t="n">
        <x:v>92.8</x:v>
      </x:c>
      <x:c r="I32" s="14" t="str"/>
    </x:row>
    <x:row r="33">
      <x:c r="A33" s="14" t="str">
        <x:v>CZ</x:v>
      </x:c>
      <x:c r="B33" s="14" t="str">
        <x:v>Tékkland</x:v>
      </x:c>
      <x:c r="C33" s="14" t="str">
        <x:v>A01</x:v>
      </x:c>
      <x:c r="D33" s="14" t="str">
        <x:v>Actual individual consumption</x:v>
      </x:c>
      <x:c r="E33" s="14" t="str">
        <x:v>PLI_EU27_2020</x:v>
      </x:c>
      <x:c r="F33" s="14" t="str">
        <x:v>A</x:v>
      </x:c>
      <x:c r="G33" s="18" t="n">
        <x:v>2024</x:v>
      </x:c>
      <x:c r="H33" s="19" t="n">
        <x:v>80.2</x:v>
      </x:c>
      <x:c r="I33" s="14" t="str"/>
    </x:row>
    <x:row r="34">
      <x:c r="A34" s="14" t="str">
        <x:v>CZ</x:v>
      </x:c>
      <x:c r="B34" s="14" t="str">
        <x:v>Tékkland</x:v>
      </x:c>
      <x:c r="C34" s="14" t="str">
        <x:v>A0101</x:v>
      </x:c>
      <x:c r="D34" s="14" t="str">
        <x:v>Food and non-alcoholic beverages</x:v>
      </x:c>
      <x:c r="E34" s="14" t="str">
        <x:v>PLI_EU27_2020</x:v>
      </x:c>
      <x:c r="F34" s="14" t="str">
        <x:v>A</x:v>
      </x:c>
      <x:c r="G34" s="18" t="n">
        <x:v>2024</x:v>
      </x:c>
      <x:c r="H34" s="19" t="n">
        <x:v>89</x:v>
      </x:c>
      <x:c r="I34" s="14" t="str"/>
    </x:row>
    <x:row r="35">
      <x:c r="A35" s="14" t="str">
        <x:v>CZ</x:v>
      </x:c>
      <x:c r="B35" s="14" t="str">
        <x:v>Tékkland</x:v>
      </x:c>
      <x:c r="C35" s="14" t="str">
        <x:v>A0103</x:v>
      </x:c>
      <x:c r="D35" s="14" t="str">
        <x:v>Clothing and footwear</x:v>
      </x:c>
      <x:c r="E35" s="14" t="str">
        <x:v>PLI_EU27_2020</x:v>
      </x:c>
      <x:c r="F35" s="14" t="str">
        <x:v>A</x:v>
      </x:c>
      <x:c r="G35" s="18" t="n">
        <x:v>2024</x:v>
      </x:c>
      <x:c r="H35" s="19" t="n">
        <x:v>96.4</x:v>
      </x:c>
      <x:c r="I35" s="14" t="str"/>
    </x:row>
    <x:row r="36">
      <x:c r="A36" s="14" t="str">
        <x:v>CZ</x:v>
      </x:c>
      <x:c r="B36" s="14" t="str">
        <x:v>Tékkland</x:v>
      </x:c>
      <x:c r="C36" s="14" t="str">
        <x:v>A010405</x:v>
      </x:c>
      <x:c r="D36" s="14" t="str">
        <x:v>Electricity, gas and other fuels</x:v>
      </x:c>
      <x:c r="E36" s="14" t="str">
        <x:v>PLI_EU27_2020</x:v>
      </x:c>
      <x:c r="F36" s="14" t="str">
        <x:v>A</x:v>
      </x:c>
      <x:c r="G36" s="18" t="n">
        <x:v>2024</x:v>
      </x:c>
      <x:c r="H36" s="19" t="n">
        <x:v>105.7</x:v>
      </x:c>
      <x:c r="I36" s="14" t="str"/>
    </x:row>
    <x:row r="37">
      <x:c r="A37" s="14" t="str">
        <x:v>CZ</x:v>
      </x:c>
      <x:c r="B37" s="14" t="str">
        <x:v>Tékkland</x:v>
      </x:c>
      <x:c r="C37" s="14" t="str">
        <x:v>A010703</x:v>
      </x:c>
      <x:c r="D37" s="14" t="str">
        <x:v>Transport services</x:v>
      </x:c>
      <x:c r="E37" s="14" t="str">
        <x:v>PLI_EU27_2020</x:v>
      </x:c>
      <x:c r="F37" s="14" t="str">
        <x:v>A</x:v>
      </x:c>
      <x:c r="G37" s="18" t="n">
        <x:v>2024</x:v>
      </x:c>
      <x:c r="H37" s="19" t="n">
        <x:v>73.6</x:v>
      </x:c>
      <x:c r="I37" s="14" t="str"/>
    </x:row>
    <x:row r="38">
      <x:c r="A38" s="14" t="str">
        <x:v>CZ</x:v>
      </x:c>
      <x:c r="B38" s="14" t="str">
        <x:v>Tékkland</x:v>
      </x:c>
      <x:c r="C38" s="14" t="str">
        <x:v>A0111</x:v>
      </x:c>
      <x:c r="D38" s="14" t="str">
        <x:v>Restaurants and hotels</x:v>
      </x:c>
      <x:c r="E38" s="14" t="str">
        <x:v>PLI_EU27_2020</x:v>
      </x:c>
      <x:c r="F38" s="14" t="str">
        <x:v>A</x:v>
      </x:c>
      <x:c r="G38" s="18" t="n">
        <x:v>2024</x:v>
      </x:c>
      <x:c r="H38" s="19" t="n">
        <x:v>74.1</x:v>
      </x:c>
      <x:c r="I38" s="14" t="str"/>
    </x:row>
    <x:row r="39">
      <x:c r="A39" s="14" t="str">
        <x:v>CZ</x:v>
      </x:c>
      <x:c r="B39" s="14" t="str">
        <x:v>Tékkland</x:v>
      </x:c>
      <x:c r="C39" s="14" t="str">
        <x:v>E011</x:v>
      </x:c>
      <x:c r="D39" s="14" t="str">
        <x:v>Household final consumption expenditure</x:v>
      </x:c>
      <x:c r="E39" s="14" t="str">
        <x:v>PLI_EU27_2020</x:v>
      </x:c>
      <x:c r="F39" s="14" t="str">
        <x:v>A</x:v>
      </x:c>
      <x:c r="G39" s="18" t="n">
        <x:v>2024</x:v>
      </x:c>
      <x:c r="H39" s="19" t="n">
        <x:v>88.4</x:v>
      </x:c>
      <x:c r="I39" s="14" t="str"/>
    </x:row>
    <x:row r="40">
      <x:c r="A40" s="14" t="str">
        <x:v>DE</x:v>
      </x:c>
      <x:c r="B40" s="14" t="str">
        <x:v>Þýskaland</x:v>
      </x:c>
      <x:c r="C40" s="14" t="str">
        <x:v>A01</x:v>
      </x:c>
      <x:c r="D40" s="14" t="str">
        <x:v>Actual individual consumption</x:v>
      </x:c>
      <x:c r="E40" s="14" t="str">
        <x:v>PLI_EU27_2020</x:v>
      </x:c>
      <x:c r="F40" s="14" t="str">
        <x:v>A</x:v>
      </x:c>
      <x:c r="G40" s="18" t="n">
        <x:v>2024</x:v>
      </x:c>
      <x:c r="H40" s="19" t="n">
        <x:v>109.1</x:v>
      </x:c>
      <x:c r="I40" s="14" t="str"/>
    </x:row>
    <x:row r="41">
      <x:c r="A41" s="14" t="str">
        <x:v>DE</x:v>
      </x:c>
      <x:c r="B41" s="14" t="str">
        <x:v>Þýskaland</x:v>
      </x:c>
      <x:c r="C41" s="14" t="str">
        <x:v>A0101</x:v>
      </x:c>
      <x:c r="D41" s="14" t="str">
        <x:v>Food and non-alcoholic beverages</x:v>
      </x:c>
      <x:c r="E41" s="14" t="str">
        <x:v>PLI_EU27_2020</x:v>
      </x:c>
      <x:c r="F41" s="14" t="str">
        <x:v>A</x:v>
      </x:c>
      <x:c r="G41" s="18" t="n">
        <x:v>2024</x:v>
      </x:c>
      <x:c r="H41" s="19" t="n">
        <x:v>102.7</x:v>
      </x:c>
      <x:c r="I41" s="14" t="str"/>
    </x:row>
    <x:row r="42">
      <x:c r="A42" s="14" t="str">
        <x:v>DE</x:v>
      </x:c>
      <x:c r="B42" s="14" t="str">
        <x:v>Þýskaland</x:v>
      </x:c>
      <x:c r="C42" s="14" t="str">
        <x:v>A0103</x:v>
      </x:c>
      <x:c r="D42" s="14" t="str">
        <x:v>Clothing and footwear</x:v>
      </x:c>
      <x:c r="E42" s="14" t="str">
        <x:v>PLI_EU27_2020</x:v>
      </x:c>
      <x:c r="F42" s="14" t="str">
        <x:v>A</x:v>
      </x:c>
      <x:c r="G42" s="18" t="n">
        <x:v>2024</x:v>
      </x:c>
      <x:c r="H42" s="19" t="n">
        <x:v>101.2</x:v>
      </x:c>
      <x:c r="I42" s="14" t="str"/>
    </x:row>
    <x:row r="43">
      <x:c r="A43" s="14" t="str">
        <x:v>DE</x:v>
      </x:c>
      <x:c r="B43" s="14" t="str">
        <x:v>Þýskaland</x:v>
      </x:c>
      <x:c r="C43" s="14" t="str">
        <x:v>A010405</x:v>
      </x:c>
      <x:c r="D43" s="14" t="str">
        <x:v>Electricity, gas and other fuels</x:v>
      </x:c>
      <x:c r="E43" s="14" t="str">
        <x:v>PLI_EU27_2020</x:v>
      </x:c>
      <x:c r="F43" s="14" t="str">
        <x:v>A</x:v>
      </x:c>
      <x:c r="G43" s="18" t="n">
        <x:v>2024</x:v>
      </x:c>
      <x:c r="H43" s="19" t="n">
        <x:v>122.1</x:v>
      </x:c>
      <x:c r="I43" s="14" t="str"/>
    </x:row>
    <x:row r="44">
      <x:c r="A44" s="14" t="str">
        <x:v>DE</x:v>
      </x:c>
      <x:c r="B44" s="14" t="str">
        <x:v>Þýskaland</x:v>
      </x:c>
      <x:c r="C44" s="14" t="str">
        <x:v>A010703</x:v>
      </x:c>
      <x:c r="D44" s="14" t="str">
        <x:v>Transport services</x:v>
      </x:c>
      <x:c r="E44" s="14" t="str">
        <x:v>PLI_EU27_2020</x:v>
      </x:c>
      <x:c r="F44" s="14" t="str">
        <x:v>A</x:v>
      </x:c>
      <x:c r="G44" s="18" t="n">
        <x:v>2024</x:v>
      </x:c>
      <x:c r="H44" s="19" t="n">
        <x:v>118.7</x:v>
      </x:c>
      <x:c r="I44" s="14" t="str"/>
    </x:row>
    <x:row r="45">
      <x:c r="A45" s="14" t="str">
        <x:v>DE</x:v>
      </x:c>
      <x:c r="B45" s="14" t="str">
        <x:v>Þýskaland</x:v>
      </x:c>
      <x:c r="C45" s="14" t="str">
        <x:v>A0111</x:v>
      </x:c>
      <x:c r="D45" s="14" t="str">
        <x:v>Restaurants and hotels</x:v>
      </x:c>
      <x:c r="E45" s="14" t="str">
        <x:v>PLI_EU27_2020</x:v>
      </x:c>
      <x:c r="F45" s="14" t="str">
        <x:v>A</x:v>
      </x:c>
      <x:c r="G45" s="18" t="n">
        <x:v>2024</x:v>
      </x:c>
      <x:c r="H45" s="19" t="n">
        <x:v>112.1</x:v>
      </x:c>
      <x:c r="I45" s="14" t="str"/>
    </x:row>
    <x:row r="46">
      <x:c r="A46" s="14" t="str">
        <x:v>DE</x:v>
      </x:c>
      <x:c r="B46" s="14" t="str">
        <x:v>Þýskaland</x:v>
      </x:c>
      <x:c r="C46" s="14" t="str">
        <x:v>E011</x:v>
      </x:c>
      <x:c r="D46" s="14" t="str">
        <x:v>Household final consumption expenditure</x:v>
      </x:c>
      <x:c r="E46" s="14" t="str">
        <x:v>PLI_EU27_2020</x:v>
      </x:c>
      <x:c r="F46" s="14" t="str">
        <x:v>A</x:v>
      </x:c>
      <x:c r="G46" s="18" t="n">
        <x:v>2024</x:v>
      </x:c>
      <x:c r="H46" s="19" t="n">
        <x:v>108.6</x:v>
      </x:c>
      <x:c r="I46" s="14" t="str"/>
    </x:row>
    <x:row r="47">
      <x:c r="A47" s="14" t="str">
        <x:v>DK</x:v>
      </x:c>
      <x:c r="B47" s="14" t="str">
        <x:v>Danmörk</x:v>
      </x:c>
      <x:c r="C47" s="14" t="str">
        <x:v>A01</x:v>
      </x:c>
      <x:c r="D47" s="14" t="str">
        <x:v>Actual individual consumption</x:v>
      </x:c>
      <x:c r="E47" s="14" t="str">
        <x:v>PLI_EU27_2020</x:v>
      </x:c>
      <x:c r="F47" s="14" t="str">
        <x:v>A</x:v>
      </x:c>
      <x:c r="G47" s="18" t="n">
        <x:v>2024</x:v>
      </x:c>
      <x:c r="H47" s="19" t="n">
        <x:v>142.8</x:v>
      </x:c>
      <x:c r="I47" s="14" t="str"/>
    </x:row>
    <x:row r="48">
      <x:c r="A48" s="14" t="str">
        <x:v>DK</x:v>
      </x:c>
      <x:c r="B48" s="14" t="str">
        <x:v>Danmörk</x:v>
      </x:c>
      <x:c r="C48" s="14" t="str">
        <x:v>A0101</x:v>
      </x:c>
      <x:c r="D48" s="14" t="str">
        <x:v>Food and non-alcoholic beverages</x:v>
      </x:c>
      <x:c r="E48" s="14" t="str">
        <x:v>PLI_EU27_2020</x:v>
      </x:c>
      <x:c r="F48" s="14" t="str">
        <x:v>A</x:v>
      </x:c>
      <x:c r="G48" s="18" t="n">
        <x:v>2024</x:v>
      </x:c>
      <x:c r="H48" s="19" t="n">
        <x:v>120.2</x:v>
      </x:c>
      <x:c r="I48" s="14" t="str"/>
    </x:row>
    <x:row r="49">
      <x:c r="A49" s="14" t="str">
        <x:v>DK</x:v>
      </x:c>
      <x:c r="B49" s="14" t="str">
        <x:v>Danmörk</x:v>
      </x:c>
      <x:c r="C49" s="14" t="str">
        <x:v>A0103</x:v>
      </x:c>
      <x:c r="D49" s="14" t="str">
        <x:v>Clothing and footwear</x:v>
      </x:c>
      <x:c r="E49" s="14" t="str">
        <x:v>PLI_EU27_2020</x:v>
      </x:c>
      <x:c r="F49" s="14" t="str">
        <x:v>A</x:v>
      </x:c>
      <x:c r="G49" s="18" t="n">
        <x:v>2024</x:v>
      </x:c>
      <x:c r="H49" s="19" t="n">
        <x:v>132.7</x:v>
      </x:c>
      <x:c r="I49" s="14" t="str"/>
    </x:row>
    <x:row r="50">
      <x:c r="A50" s="14" t="str">
        <x:v>DK</x:v>
      </x:c>
      <x:c r="B50" s="14" t="str">
        <x:v>Danmörk</x:v>
      </x:c>
      <x:c r="C50" s="14" t="str">
        <x:v>A010405</x:v>
      </x:c>
      <x:c r="D50" s="14" t="str">
        <x:v>Electricity, gas and other fuels</x:v>
      </x:c>
      <x:c r="E50" s="14" t="str">
        <x:v>PLI_EU27_2020</x:v>
      </x:c>
      <x:c r="F50" s="14" t="str">
        <x:v>A</x:v>
      </x:c>
      <x:c r="G50" s="18" t="n">
        <x:v>2024</x:v>
      </x:c>
      <x:c r="H50" s="19" t="n">
        <x:v>114.8</x:v>
      </x:c>
      <x:c r="I50" s="14" t="str"/>
    </x:row>
    <x:row r="51">
      <x:c r="A51" s="14" t="str">
        <x:v>DK</x:v>
      </x:c>
      <x:c r="B51" s="14" t="str">
        <x:v>Danmörk</x:v>
      </x:c>
      <x:c r="C51" s="14" t="str">
        <x:v>A010703</x:v>
      </x:c>
      <x:c r="D51" s="14" t="str">
        <x:v>Transport services</x:v>
      </x:c>
      <x:c r="E51" s="14" t="str">
        <x:v>PLI_EU27_2020</x:v>
      </x:c>
      <x:c r="F51" s="14" t="str">
        <x:v>A</x:v>
      </x:c>
      <x:c r="G51" s="18" t="n">
        <x:v>2024</x:v>
      </x:c>
      <x:c r="H51" s="19" t="n">
        <x:v>159.9</x:v>
      </x:c>
      <x:c r="I51" s="14" t="str"/>
    </x:row>
    <x:row r="52">
      <x:c r="A52" s="14" t="str">
        <x:v>DK</x:v>
      </x:c>
      <x:c r="B52" s="14" t="str">
        <x:v>Danmörk</x:v>
      </x:c>
      <x:c r="C52" s="14" t="str">
        <x:v>A0111</x:v>
      </x:c>
      <x:c r="D52" s="14" t="str">
        <x:v>Restaurants and hotels</x:v>
      </x:c>
      <x:c r="E52" s="14" t="str">
        <x:v>PLI_EU27_2020</x:v>
      </x:c>
      <x:c r="F52" s="14" t="str">
        <x:v>A</x:v>
      </x:c>
      <x:c r="G52" s="18" t="n">
        <x:v>2024</x:v>
      </x:c>
      <x:c r="H52" s="19" t="n">
        <x:v>147.6</x:v>
      </x:c>
      <x:c r="I52" s="14" t="str"/>
    </x:row>
    <x:row r="53">
      <x:c r="A53" s="14" t="str">
        <x:v>DK</x:v>
      </x:c>
      <x:c r="B53" s="14" t="str">
        <x:v>Danmörk</x:v>
      </x:c>
      <x:c r="C53" s="14" t="str">
        <x:v>E011</x:v>
      </x:c>
      <x:c r="D53" s="14" t="str">
        <x:v>Household final consumption expenditure</x:v>
      </x:c>
      <x:c r="E53" s="14" t="str">
        <x:v>PLI_EU27_2020</x:v>
      </x:c>
      <x:c r="F53" s="14" t="str">
        <x:v>A</x:v>
      </x:c>
      <x:c r="G53" s="18" t="n">
        <x:v>2024</x:v>
      </x:c>
      <x:c r="H53" s="19" t="n">
        <x:v>143.1</x:v>
      </x:c>
      <x:c r="I53" s="14" t="str"/>
    </x:row>
    <x:row r="54">
      <x:c r="A54" s="14" t="str">
        <x:v>EE</x:v>
      </x:c>
      <x:c r="B54" s="14" t="str">
        <x:v>Eistland</x:v>
      </x:c>
      <x:c r="C54" s="14" t="str">
        <x:v>A01</x:v>
      </x:c>
      <x:c r="D54" s="14" t="str">
        <x:v>Actual individual consumption</x:v>
      </x:c>
      <x:c r="E54" s="14" t="str">
        <x:v>PLI_EU27_2020</x:v>
      </x:c>
      <x:c r="F54" s="14" t="str">
        <x:v>A</x:v>
      </x:c>
      <x:c r="G54" s="18" t="n">
        <x:v>2024</x:v>
      </x:c>
      <x:c r="H54" s="19" t="n">
        <x:v>96.5</x:v>
      </x:c>
      <x:c r="I54" s="14" t="str"/>
    </x:row>
    <x:row r="55">
      <x:c r="A55" s="14" t="str">
        <x:v>EE</x:v>
      </x:c>
      <x:c r="B55" s="14" t="str">
        <x:v>Eistland</x:v>
      </x:c>
      <x:c r="C55" s="14" t="str">
        <x:v>A0101</x:v>
      </x:c>
      <x:c r="D55" s="14" t="str">
        <x:v>Food and non-alcoholic beverages</x:v>
      </x:c>
      <x:c r="E55" s="14" t="str">
        <x:v>PLI_EU27_2020</x:v>
      </x:c>
      <x:c r="F55" s="14" t="str">
        <x:v>A</x:v>
      </x:c>
      <x:c r="G55" s="18" t="n">
        <x:v>2024</x:v>
      </x:c>
      <x:c r="H55" s="19" t="n">
        <x:v>106.2</x:v>
      </x:c>
      <x:c r="I55" s="14" t="str"/>
    </x:row>
    <x:row r="56">
      <x:c r="A56" s="14" t="str">
        <x:v>EE</x:v>
      </x:c>
      <x:c r="B56" s="14" t="str">
        <x:v>Eistland</x:v>
      </x:c>
      <x:c r="C56" s="14" t="str">
        <x:v>A0103</x:v>
      </x:c>
      <x:c r="D56" s="14" t="str">
        <x:v>Clothing and footwear</x:v>
      </x:c>
      <x:c r="E56" s="14" t="str">
        <x:v>PLI_EU27_2020</x:v>
      </x:c>
      <x:c r="F56" s="14" t="str">
        <x:v>A</x:v>
      </x:c>
      <x:c r="G56" s="18" t="n">
        <x:v>2024</x:v>
      </x:c>
      <x:c r="H56" s="19" t="n">
        <x:v>116.9</x:v>
      </x:c>
      <x:c r="I56" s="14" t="str"/>
    </x:row>
    <x:row r="57">
      <x:c r="A57" s="14" t="str">
        <x:v>EE</x:v>
      </x:c>
      <x:c r="B57" s="14" t="str">
        <x:v>Eistland</x:v>
      </x:c>
      <x:c r="C57" s="14" t="str">
        <x:v>A010405</x:v>
      </x:c>
      <x:c r="D57" s="14" t="str">
        <x:v>Electricity, gas and other fuels</x:v>
      </x:c>
      <x:c r="E57" s="14" t="str">
        <x:v>PLI_EU27_2020</x:v>
      </x:c>
      <x:c r="F57" s="14" t="str">
        <x:v>A</x:v>
      </x:c>
      <x:c r="G57" s="18" t="n">
        <x:v>2024</x:v>
      </x:c>
      <x:c r="H57" s="19" t="n">
        <x:v>77.8</x:v>
      </x:c>
      <x:c r="I57" s="14" t="str"/>
    </x:row>
    <x:row r="58">
      <x:c r="A58" s="14" t="str">
        <x:v>EE</x:v>
      </x:c>
      <x:c r="B58" s="14" t="str">
        <x:v>Eistland</x:v>
      </x:c>
      <x:c r="C58" s="14" t="str">
        <x:v>A010703</x:v>
      </x:c>
      <x:c r="D58" s="14" t="str">
        <x:v>Transport services</x:v>
      </x:c>
      <x:c r="E58" s="14" t="str">
        <x:v>PLI_EU27_2020</x:v>
      </x:c>
      <x:c r="F58" s="14" t="str">
        <x:v>A</x:v>
      </x:c>
      <x:c r="G58" s="18" t="n">
        <x:v>2024</x:v>
      </x:c>
      <x:c r="H58" s="19" t="n">
        <x:v>97.9</x:v>
      </x:c>
      <x:c r="I58" s="14" t="str"/>
    </x:row>
    <x:row r="59">
      <x:c r="A59" s="14" t="str">
        <x:v>EE</x:v>
      </x:c>
      <x:c r="B59" s="14" t="str">
        <x:v>Eistland</x:v>
      </x:c>
      <x:c r="C59" s="14" t="str">
        <x:v>A0111</x:v>
      </x:c>
      <x:c r="D59" s="14" t="str">
        <x:v>Restaurants and hotels</x:v>
      </x:c>
      <x:c r="E59" s="14" t="str">
        <x:v>PLI_EU27_2020</x:v>
      </x:c>
      <x:c r="F59" s="14" t="str">
        <x:v>A</x:v>
      </x:c>
      <x:c r="G59" s="18" t="n">
        <x:v>2024</x:v>
      </x:c>
      <x:c r="H59" s="19" t="n">
        <x:v>98.3</x:v>
      </x:c>
      <x:c r="I59" s="14" t="str"/>
    </x:row>
    <x:row r="60">
      <x:c r="A60" s="14" t="str">
        <x:v>EE</x:v>
      </x:c>
      <x:c r="B60" s="14" t="str">
        <x:v>Eistland</x:v>
      </x:c>
      <x:c r="C60" s="14" t="str">
        <x:v>E011</x:v>
      </x:c>
      <x:c r="D60" s="14" t="str">
        <x:v>Household final consumption expenditure</x:v>
      </x:c>
      <x:c r="E60" s="14" t="str">
        <x:v>PLI_EU27_2020</x:v>
      </x:c>
      <x:c r="F60" s="14" t="str">
        <x:v>A</x:v>
      </x:c>
      <x:c r="G60" s="18" t="n">
        <x:v>2024</x:v>
      </x:c>
      <x:c r="H60" s="19" t="n">
        <x:v>100</x:v>
      </x:c>
      <x:c r="I60" s="14" t="str"/>
    </x:row>
    <x:row r="61">
      <x:c r="A61" s="14" t="str">
        <x:v>EL</x:v>
      </x:c>
      <x:c r="B61" s="14" t="str">
        <x:v>Grikkland</x:v>
      </x:c>
      <x:c r="C61" s="14" t="str">
        <x:v>A01</x:v>
      </x:c>
      <x:c r="D61" s="14" t="str">
        <x:v>Actual individual consumption</x:v>
      </x:c>
      <x:c r="E61" s="14" t="str">
        <x:v>PLI_EU27_2020</x:v>
      </x:c>
      <x:c r="F61" s="14" t="str">
        <x:v>A</x:v>
      </x:c>
      <x:c r="G61" s="18" t="n">
        <x:v>2024</x:v>
      </x:c>
      <x:c r="H61" s="19" t="n">
        <x:v>83</x:v>
      </x:c>
      <x:c r="I61" s="14" t="str"/>
    </x:row>
    <x:row r="62">
      <x:c r="A62" s="14" t="str">
        <x:v>EL</x:v>
      </x:c>
      <x:c r="B62" s="14" t="str">
        <x:v>Grikkland</x:v>
      </x:c>
      <x:c r="C62" s="14" t="str">
        <x:v>A0101</x:v>
      </x:c>
      <x:c r="D62" s="14" t="str">
        <x:v>Food and non-alcoholic beverages</x:v>
      </x:c>
      <x:c r="E62" s="14" t="str">
        <x:v>PLI_EU27_2020</x:v>
      </x:c>
      <x:c r="F62" s="14" t="str">
        <x:v>A</x:v>
      </x:c>
      <x:c r="G62" s="18" t="n">
        <x:v>2024</x:v>
      </x:c>
      <x:c r="H62" s="19" t="n">
        <x:v>105.8</x:v>
      </x:c>
      <x:c r="I62" s="14" t="str"/>
    </x:row>
    <x:row r="63">
      <x:c r="A63" s="14" t="str">
        <x:v>EL</x:v>
      </x:c>
      <x:c r="B63" s="14" t="str">
        <x:v>Grikkland</x:v>
      </x:c>
      <x:c r="C63" s="14" t="str">
        <x:v>A0103</x:v>
      </x:c>
      <x:c r="D63" s="14" t="str">
        <x:v>Clothing and footwear</x:v>
      </x:c>
      <x:c r="E63" s="14" t="str">
        <x:v>PLI_EU27_2020</x:v>
      </x:c>
      <x:c r="F63" s="14" t="str">
        <x:v>A</x:v>
      </x:c>
      <x:c r="G63" s="18" t="n">
        <x:v>2024</x:v>
      </x:c>
      <x:c r="H63" s="19" t="n">
        <x:v>90.1</x:v>
      </x:c>
      <x:c r="I63" s="14" t="str"/>
    </x:row>
    <x:row r="64">
      <x:c r="A64" s="14" t="str">
        <x:v>EL</x:v>
      </x:c>
      <x:c r="B64" s="14" t="str">
        <x:v>Grikkland</x:v>
      </x:c>
      <x:c r="C64" s="14" t="str">
        <x:v>A010405</x:v>
      </x:c>
      <x:c r="D64" s="14" t="str">
        <x:v>Electricity, gas and other fuels</x:v>
      </x:c>
      <x:c r="E64" s="14" t="str">
        <x:v>PLI_EU27_2020</x:v>
      </x:c>
      <x:c r="F64" s="14" t="str">
        <x:v>A</x:v>
      </x:c>
      <x:c r="G64" s="18" t="n">
        <x:v>2024</x:v>
      </x:c>
      <x:c r="H64" s="19" t="n">
        <x:v>88.3</x:v>
      </x:c>
      <x:c r="I64" s="14" t="str"/>
    </x:row>
    <x:row r="65">
      <x:c r="A65" s="14" t="str">
        <x:v>EL</x:v>
      </x:c>
      <x:c r="B65" s="14" t="str">
        <x:v>Grikkland</x:v>
      </x:c>
      <x:c r="C65" s="14" t="str">
        <x:v>A010703</x:v>
      </x:c>
      <x:c r="D65" s="14" t="str">
        <x:v>Transport services</x:v>
      </x:c>
      <x:c r="E65" s="14" t="str">
        <x:v>PLI_EU27_2020</x:v>
      </x:c>
      <x:c r="F65" s="14" t="str">
        <x:v>A</x:v>
      </x:c>
      <x:c r="G65" s="18" t="n">
        <x:v>2024</x:v>
      </x:c>
      <x:c r="H65" s="19" t="n">
        <x:v>89.5</x:v>
      </x:c>
      <x:c r="I65" s="14" t="str"/>
    </x:row>
    <x:row r="66">
      <x:c r="A66" s="14" t="str">
        <x:v>EL</x:v>
      </x:c>
      <x:c r="B66" s="14" t="str">
        <x:v>Grikkland</x:v>
      </x:c>
      <x:c r="C66" s="14" t="str">
        <x:v>A0111</x:v>
      </x:c>
      <x:c r="D66" s="14" t="str">
        <x:v>Restaurants and hotels</x:v>
      </x:c>
      <x:c r="E66" s="14" t="str">
        <x:v>PLI_EU27_2020</x:v>
      </x:c>
      <x:c r="F66" s="14" t="str">
        <x:v>A</x:v>
      </x:c>
      <x:c r="G66" s="18" t="n">
        <x:v>2024</x:v>
      </x:c>
      <x:c r="H66" s="19" t="n">
        <x:v>86.4</x:v>
      </x:c>
      <x:c r="I66" s="14" t="str"/>
    </x:row>
    <x:row r="67">
      <x:c r="A67" s="14" t="str">
        <x:v>EL</x:v>
      </x:c>
      <x:c r="B67" s="14" t="str">
        <x:v>Grikkland</x:v>
      </x:c>
      <x:c r="C67" s="14" t="str">
        <x:v>E011</x:v>
      </x:c>
      <x:c r="D67" s="14" t="str">
        <x:v>Household final consumption expenditure</x:v>
      </x:c>
      <x:c r="E67" s="14" t="str">
        <x:v>PLI_EU27_2020</x:v>
      </x:c>
      <x:c r="F67" s="14" t="str">
        <x:v>A</x:v>
      </x:c>
      <x:c r="G67" s="18" t="n">
        <x:v>2024</x:v>
      </x:c>
      <x:c r="H67" s="19" t="n">
        <x:v>86</x:v>
      </x:c>
      <x:c r="I67" s="14" t="str"/>
    </x:row>
    <x:row r="68">
      <x:c r="A68" s="14" t="str">
        <x:v>ES</x:v>
      </x:c>
      <x:c r="B68" s="14" t="str">
        <x:v>Spánn</x:v>
      </x:c>
      <x:c r="C68" s="14" t="str">
        <x:v>A01</x:v>
      </x:c>
      <x:c r="D68" s="14" t="str">
        <x:v>Actual individual consumption</x:v>
      </x:c>
      <x:c r="E68" s="14" t="str">
        <x:v>PLI_EU27_2020</x:v>
      </x:c>
      <x:c r="F68" s="14" t="str">
        <x:v>A</x:v>
      </x:c>
      <x:c r="G68" s="18" t="n">
        <x:v>2024</x:v>
      </x:c>
      <x:c r="H68" s="19" t="n">
        <x:v>90.7</x:v>
      </x:c>
      <x:c r="I68" s="14" t="str"/>
    </x:row>
    <x:row r="69">
      <x:c r="A69" s="14" t="str">
        <x:v>ES</x:v>
      </x:c>
      <x:c r="B69" s="14" t="str">
        <x:v>Spánn</x:v>
      </x:c>
      <x:c r="C69" s="14" t="str">
        <x:v>A0101</x:v>
      </x:c>
      <x:c r="D69" s="14" t="str">
        <x:v>Food and non-alcoholic beverages</x:v>
      </x:c>
      <x:c r="E69" s="14" t="str">
        <x:v>PLI_EU27_2020</x:v>
      </x:c>
      <x:c r="F69" s="14" t="str">
        <x:v>A</x:v>
      </x:c>
      <x:c r="G69" s="18" t="n">
        <x:v>2024</x:v>
      </x:c>
      <x:c r="H69" s="19" t="n">
        <x:v>95.2</x:v>
      </x:c>
      <x:c r="I69" s="14" t="str"/>
    </x:row>
    <x:row r="70">
      <x:c r="A70" s="14" t="str">
        <x:v>ES</x:v>
      </x:c>
      <x:c r="B70" s="14" t="str">
        <x:v>Spánn</x:v>
      </x:c>
      <x:c r="C70" s="14" t="str">
        <x:v>A0103</x:v>
      </x:c>
      <x:c r="D70" s="14" t="str">
        <x:v>Clothing and footwear</x:v>
      </x:c>
      <x:c r="E70" s="14" t="str">
        <x:v>PLI_EU27_2020</x:v>
      </x:c>
      <x:c r="F70" s="14" t="str">
        <x:v>A</x:v>
      </x:c>
      <x:c r="G70" s="18" t="n">
        <x:v>2024</x:v>
      </x:c>
      <x:c r="H70" s="19" t="n">
        <x:v>90.9</x:v>
      </x:c>
      <x:c r="I70" s="14" t="str"/>
    </x:row>
    <x:row r="71">
      <x:c r="A71" s="14" t="str">
        <x:v>ES</x:v>
      </x:c>
      <x:c r="B71" s="14" t="str">
        <x:v>Spánn</x:v>
      </x:c>
      <x:c r="C71" s="14" t="str">
        <x:v>A010405</x:v>
      </x:c>
      <x:c r="D71" s="14" t="str">
        <x:v>Electricity, gas and other fuels</x:v>
      </x:c>
      <x:c r="E71" s="14" t="str">
        <x:v>PLI_EU27_2020</x:v>
      </x:c>
      <x:c r="F71" s="14" t="str">
        <x:v>A</x:v>
      </x:c>
      <x:c r="G71" s="18" t="n">
        <x:v>2024</x:v>
      </x:c>
      <x:c r="H71" s="19" t="n">
        <x:v>89</x:v>
      </x:c>
      <x:c r="I71" s="14" t="str"/>
    </x:row>
    <x:row r="72">
      <x:c r="A72" s="14" t="str">
        <x:v>ES</x:v>
      </x:c>
      <x:c r="B72" s="14" t="str">
        <x:v>Spánn</x:v>
      </x:c>
      <x:c r="C72" s="14" t="str">
        <x:v>A010703</x:v>
      </x:c>
      <x:c r="D72" s="14" t="str">
        <x:v>Transport services</x:v>
      </x:c>
      <x:c r="E72" s="14" t="str">
        <x:v>PLI_EU27_2020</x:v>
      </x:c>
      <x:c r="F72" s="14" t="str">
        <x:v>A</x:v>
      </x:c>
      <x:c r="G72" s="18" t="n">
        <x:v>2024</x:v>
      </x:c>
      <x:c r="H72" s="19" t="n">
        <x:v>81.5</x:v>
      </x:c>
      <x:c r="I72" s="14" t="str"/>
    </x:row>
    <x:row r="73">
      <x:c r="A73" s="14" t="str">
        <x:v>ES</x:v>
      </x:c>
      <x:c r="B73" s="14" t="str">
        <x:v>Spánn</x:v>
      </x:c>
      <x:c r="C73" s="14" t="str">
        <x:v>A0111</x:v>
      </x:c>
      <x:c r="D73" s="14" t="str">
        <x:v>Restaurants and hotels</x:v>
      </x:c>
      <x:c r="E73" s="14" t="str">
        <x:v>PLI_EU27_2020</x:v>
      </x:c>
      <x:c r="F73" s="14" t="str">
        <x:v>A</x:v>
      </x:c>
      <x:c r="G73" s="18" t="n">
        <x:v>2024</x:v>
      </x:c>
      <x:c r="H73" s="19" t="n">
        <x:v>83.9</x:v>
      </x:c>
      <x:c r="I73" s="14" t="str"/>
    </x:row>
    <x:row r="74">
      <x:c r="A74" s="14" t="str">
        <x:v>ES</x:v>
      </x:c>
      <x:c r="B74" s="14" t="str">
        <x:v>Spánn</x:v>
      </x:c>
      <x:c r="C74" s="14" t="str">
        <x:v>E011</x:v>
      </x:c>
      <x:c r="D74" s="14" t="str">
        <x:v>Household final consumption expenditure</x:v>
      </x:c>
      <x:c r="E74" s="14" t="str">
        <x:v>PLI_EU27_2020</x:v>
      </x:c>
      <x:c r="F74" s="14" t="str">
        <x:v>A</x:v>
      </x:c>
      <x:c r="G74" s="18" t="n">
        <x:v>2024</x:v>
      </x:c>
      <x:c r="H74" s="19" t="n">
        <x:v>90.9</x:v>
      </x:c>
      <x:c r="I74" s="14" t="str"/>
    </x:row>
    <x:row r="75">
      <x:c r="A75" s="14" t="str">
        <x:v>EU27_2020</x:v>
      </x:c>
      <x:c r="B75" s="14" t="str">
        <x:v>ESB-27</x:v>
      </x:c>
      <x:c r="C75" s="14" t="str">
        <x:v>A01</x:v>
      </x:c>
      <x:c r="D75" s="14" t="str">
        <x:v>Actual individual consumption</x:v>
      </x:c>
      <x:c r="E75" s="14" t="str">
        <x:v>PLI_EU27_2020</x:v>
      </x:c>
      <x:c r="F75" s="14" t="str">
        <x:v>A</x:v>
      </x:c>
      <x:c r="G75" s="18" t="n">
        <x:v>2024</x:v>
      </x:c>
      <x:c r="H75" s="19" t="n">
        <x:v>100</x:v>
      </x:c>
      <x:c r="I75" s="14" t="str"/>
    </x:row>
    <x:row r="76">
      <x:c r="A76" s="14" t="str">
        <x:v>EU27_2020</x:v>
      </x:c>
      <x:c r="B76" s="14" t="str">
        <x:v>ESB-27</x:v>
      </x:c>
      <x:c r="C76" s="14" t="str">
        <x:v>A0101</x:v>
      </x:c>
      <x:c r="D76" s="14" t="str">
        <x:v>Food and non-alcoholic beverages</x:v>
      </x:c>
      <x:c r="E76" s="14" t="str">
        <x:v>PLI_EU27_2020</x:v>
      </x:c>
      <x:c r="F76" s="14" t="str">
        <x:v>A</x:v>
      </x:c>
      <x:c r="G76" s="18" t="n">
        <x:v>2024</x:v>
      </x:c>
      <x:c r="H76" s="19" t="n">
        <x:v>100</x:v>
      </x:c>
      <x:c r="I76" s="14" t="str"/>
    </x:row>
    <x:row r="77">
      <x:c r="A77" s="14" t="str">
        <x:v>EU27_2020</x:v>
      </x:c>
      <x:c r="B77" s="14" t="str">
        <x:v>ESB-27</x:v>
      </x:c>
      <x:c r="C77" s="14" t="str">
        <x:v>A0103</x:v>
      </x:c>
      <x:c r="D77" s="14" t="str">
        <x:v>Clothing and footwear</x:v>
      </x:c>
      <x:c r="E77" s="14" t="str">
        <x:v>PLI_EU27_2020</x:v>
      </x:c>
      <x:c r="F77" s="14" t="str">
        <x:v>A</x:v>
      </x:c>
      <x:c r="G77" s="18" t="n">
        <x:v>2024</x:v>
      </x:c>
      <x:c r="H77" s="19" t="n">
        <x:v>100</x:v>
      </x:c>
      <x:c r="I77" s="14" t="str"/>
    </x:row>
    <x:row r="78">
      <x:c r="A78" s="14" t="str">
        <x:v>EU27_2020</x:v>
      </x:c>
      <x:c r="B78" s="14" t="str">
        <x:v>ESB-27</x:v>
      </x:c>
      <x:c r="C78" s="14" t="str">
        <x:v>A010405</x:v>
      </x:c>
      <x:c r="D78" s="14" t="str">
        <x:v>Electricity, gas and other fuels</x:v>
      </x:c>
      <x:c r="E78" s="14" t="str">
        <x:v>PLI_EU27_2020</x:v>
      </x:c>
      <x:c r="F78" s="14" t="str">
        <x:v>A</x:v>
      </x:c>
      <x:c r="G78" s="18" t="n">
        <x:v>2024</x:v>
      </x:c>
      <x:c r="H78" s="19" t="n">
        <x:v>100</x:v>
      </x:c>
      <x:c r="I78" s="14" t="str"/>
    </x:row>
    <x:row r="79">
      <x:c r="A79" s="14" t="str">
        <x:v>EU27_2020</x:v>
      </x:c>
      <x:c r="B79" s="14" t="str">
        <x:v>ESB-27</x:v>
      </x:c>
      <x:c r="C79" s="14" t="str">
        <x:v>A010703</x:v>
      </x:c>
      <x:c r="D79" s="14" t="str">
        <x:v>Transport services</x:v>
      </x:c>
      <x:c r="E79" s="14" t="str">
        <x:v>PLI_EU27_2020</x:v>
      </x:c>
      <x:c r="F79" s="14" t="str">
        <x:v>A</x:v>
      </x:c>
      <x:c r="G79" s="18" t="n">
        <x:v>2024</x:v>
      </x:c>
      <x:c r="H79" s="19" t="n">
        <x:v>100</x:v>
      </x:c>
      <x:c r="I79" s="14" t="str"/>
    </x:row>
    <x:row r="80">
      <x:c r="A80" s="14" t="str">
        <x:v>EU27_2020</x:v>
      </x:c>
      <x:c r="B80" s="14" t="str">
        <x:v>ESB-27</x:v>
      </x:c>
      <x:c r="C80" s="14" t="str">
        <x:v>A0111</x:v>
      </x:c>
      <x:c r="D80" s="14" t="str">
        <x:v>Restaurants and hotels</x:v>
      </x:c>
      <x:c r="E80" s="14" t="str">
        <x:v>PLI_EU27_2020</x:v>
      </x:c>
      <x:c r="F80" s="14" t="str">
        <x:v>A</x:v>
      </x:c>
      <x:c r="G80" s="18" t="n">
        <x:v>2024</x:v>
      </x:c>
      <x:c r="H80" s="19" t="n">
        <x:v>100</x:v>
      </x:c>
      <x:c r="I80" s="14" t="str"/>
    </x:row>
    <x:row r="81">
      <x:c r="A81" s="14" t="str">
        <x:v>EU27_2020</x:v>
      </x:c>
      <x:c r="B81" s="14" t="str">
        <x:v>ESB-27</x:v>
      </x:c>
      <x:c r="C81" s="14" t="str">
        <x:v>E011</x:v>
      </x:c>
      <x:c r="D81" s="14" t="str">
        <x:v>Household final consumption expenditure</x:v>
      </x:c>
      <x:c r="E81" s="14" t="str">
        <x:v>PLI_EU27_2020</x:v>
      </x:c>
      <x:c r="F81" s="14" t="str">
        <x:v>A</x:v>
      </x:c>
      <x:c r="G81" s="18" t="n">
        <x:v>2024</x:v>
      </x:c>
      <x:c r="H81" s="19" t="n">
        <x:v>100</x:v>
      </x:c>
      <x:c r="I81" s="14" t="str"/>
    </x:row>
    <x:row r="82">
      <x:c r="A82" s="14" t="str">
        <x:v>FI</x:v>
      </x:c>
      <x:c r="B82" s="14" t="str">
        <x:v>Finnland</x:v>
      </x:c>
      <x:c r="C82" s="14" t="str">
        <x:v>A01</x:v>
      </x:c>
      <x:c r="D82" s="14" t="str">
        <x:v>Actual individual consumption</x:v>
      </x:c>
      <x:c r="E82" s="14" t="str">
        <x:v>PLI_EU27_2020</x:v>
      </x:c>
      <x:c r="F82" s="14" t="str">
        <x:v>A</x:v>
      </x:c>
      <x:c r="G82" s="18" t="n">
        <x:v>2024</x:v>
      </x:c>
      <x:c r="H82" s="19" t="n">
        <x:v>127.2</x:v>
      </x:c>
      <x:c r="I82" s="14" t="str"/>
    </x:row>
    <x:row r="83">
      <x:c r="A83" s="14" t="str">
        <x:v>FI</x:v>
      </x:c>
      <x:c r="B83" s="14" t="str">
        <x:v>Finnland</x:v>
      </x:c>
      <x:c r="C83" s="14" t="str">
        <x:v>A0101</x:v>
      </x:c>
      <x:c r="D83" s="14" t="str">
        <x:v>Food and non-alcoholic beverages</x:v>
      </x:c>
      <x:c r="E83" s="14" t="str">
        <x:v>PLI_EU27_2020</x:v>
      </x:c>
      <x:c r="F83" s="14" t="str">
        <x:v>A</x:v>
      </x:c>
      <x:c r="G83" s="18" t="n">
        <x:v>2024</x:v>
      </x:c>
      <x:c r="H83" s="19" t="n">
        <x:v>109.8</x:v>
      </x:c>
      <x:c r="I83" s="14" t="str"/>
    </x:row>
    <x:row r="84">
      <x:c r="A84" s="14" t="str">
        <x:v>FI</x:v>
      </x:c>
      <x:c r="B84" s="14" t="str">
        <x:v>Finnland</x:v>
      </x:c>
      <x:c r="C84" s="14" t="str">
        <x:v>A0103</x:v>
      </x:c>
      <x:c r="D84" s="14" t="str">
        <x:v>Clothing and footwear</x:v>
      </x:c>
      <x:c r="E84" s="14" t="str">
        <x:v>PLI_EU27_2020</x:v>
      </x:c>
      <x:c r="F84" s="14" t="str">
        <x:v>A</x:v>
      </x:c>
      <x:c r="G84" s="18" t="n">
        <x:v>2024</x:v>
      </x:c>
      <x:c r="H84" s="19" t="n">
        <x:v>120.7</x:v>
      </x:c>
      <x:c r="I84" s="14" t="str"/>
    </x:row>
    <x:row r="85">
      <x:c r="A85" s="14" t="str">
        <x:v>FI</x:v>
      </x:c>
      <x:c r="B85" s="14" t="str">
        <x:v>Finnland</x:v>
      </x:c>
      <x:c r="C85" s="14" t="str">
        <x:v>A010405</x:v>
      </x:c>
      <x:c r="D85" s="14" t="str">
        <x:v>Electricity, gas and other fuels</x:v>
      </x:c>
      <x:c r="E85" s="14" t="str">
        <x:v>PLI_EU27_2020</x:v>
      </x:c>
      <x:c r="F85" s="14" t="str">
        <x:v>A</x:v>
      </x:c>
      <x:c r="G85" s="18" t="n">
        <x:v>2024</x:v>
      </x:c>
      <x:c r="H85" s="19" t="n">
        <x:v>89.6</x:v>
      </x:c>
      <x:c r="I85" s="14" t="str"/>
    </x:row>
    <x:row r="86">
      <x:c r="A86" s="14" t="str">
        <x:v>FI</x:v>
      </x:c>
      <x:c r="B86" s="14" t="str">
        <x:v>Finnland</x:v>
      </x:c>
      <x:c r="C86" s="14" t="str">
        <x:v>A010703</x:v>
      </x:c>
      <x:c r="D86" s="14" t="str">
        <x:v>Transport services</x:v>
      </x:c>
      <x:c r="E86" s="14" t="str">
        <x:v>PLI_EU27_2020</x:v>
      </x:c>
      <x:c r="F86" s="14" t="str">
        <x:v>A</x:v>
      </x:c>
      <x:c r="G86" s="18" t="n">
        <x:v>2024</x:v>
      </x:c>
      <x:c r="H86" s="19" t="n">
        <x:v>141.2</x:v>
      </x:c>
      <x:c r="I86" s="14" t="str"/>
    </x:row>
    <x:row r="87">
      <x:c r="A87" s="14" t="str">
        <x:v>FI</x:v>
      </x:c>
      <x:c r="B87" s="14" t="str">
        <x:v>Finnland</x:v>
      </x:c>
      <x:c r="C87" s="14" t="str">
        <x:v>A0111</x:v>
      </x:c>
      <x:c r="D87" s="14" t="str">
        <x:v>Restaurants and hotels</x:v>
      </x:c>
      <x:c r="E87" s="14" t="str">
        <x:v>PLI_EU27_2020</x:v>
      </x:c>
      <x:c r="F87" s="14" t="str">
        <x:v>A</x:v>
      </x:c>
      <x:c r="G87" s="18" t="n">
        <x:v>2024</x:v>
      </x:c>
      <x:c r="H87" s="19" t="n">
        <x:v>126.8</x:v>
      </x:c>
      <x:c r="I87" s="14" t="str"/>
    </x:row>
    <x:row r="88">
      <x:c r="A88" s="14" t="str">
        <x:v>FI</x:v>
      </x:c>
      <x:c r="B88" s="14" t="str">
        <x:v>Finnland</x:v>
      </x:c>
      <x:c r="C88" s="14" t="str">
        <x:v>E011</x:v>
      </x:c>
      <x:c r="D88" s="14" t="str">
        <x:v>Household final consumption expenditure</x:v>
      </x:c>
      <x:c r="E88" s="14" t="str">
        <x:v>PLI_EU27_2020</x:v>
      </x:c>
      <x:c r="F88" s="14" t="str">
        <x:v>A</x:v>
      </x:c>
      <x:c r="G88" s="18" t="n">
        <x:v>2024</x:v>
      </x:c>
      <x:c r="H88" s="19" t="n">
        <x:v>123.5</x:v>
      </x:c>
      <x:c r="I88" s="14" t="str"/>
    </x:row>
    <x:row r="89">
      <x:c r="A89" s="14" t="str">
        <x:v>FR</x:v>
      </x:c>
      <x:c r="B89" s="14" t="str">
        <x:v>Frakkland</x:v>
      </x:c>
      <x:c r="C89" s="14" t="str">
        <x:v>A01</x:v>
      </x:c>
      <x:c r="D89" s="14" t="str">
        <x:v>Actual individual consumption</x:v>
      </x:c>
      <x:c r="E89" s="14" t="str">
        <x:v>PLI_EU27_2020</x:v>
      </x:c>
      <x:c r="F89" s="14" t="str">
        <x:v>A</x:v>
      </x:c>
      <x:c r="G89" s="18" t="n">
        <x:v>2024</x:v>
      </x:c>
      <x:c r="H89" s="19" t="n">
        <x:v>107.9</x:v>
      </x:c>
      <x:c r="I89" s="14" t="str"/>
    </x:row>
    <x:row r="90">
      <x:c r="A90" s="14" t="str">
        <x:v>FR</x:v>
      </x:c>
      <x:c r="B90" s="14" t="str">
        <x:v>Frakkland</x:v>
      </x:c>
      <x:c r="C90" s="14" t="str">
        <x:v>A0101</x:v>
      </x:c>
      <x:c r="D90" s="14" t="str">
        <x:v>Food and non-alcoholic beverages</x:v>
      </x:c>
      <x:c r="E90" s="14" t="str">
        <x:v>PLI_EU27_2020</x:v>
      </x:c>
      <x:c r="F90" s="14" t="str">
        <x:v>A</x:v>
      </x:c>
      <x:c r="G90" s="18" t="n">
        <x:v>2024</x:v>
      </x:c>
      <x:c r="H90" s="19" t="n">
        <x:v>110.1</x:v>
      </x:c>
      <x:c r="I90" s="14" t="str"/>
    </x:row>
    <x:row r="91">
      <x:c r="A91" s="14" t="str">
        <x:v>FR</x:v>
      </x:c>
      <x:c r="B91" s="14" t="str">
        <x:v>Frakkland</x:v>
      </x:c>
      <x:c r="C91" s="14" t="str">
        <x:v>A0103</x:v>
      </x:c>
      <x:c r="D91" s="14" t="str">
        <x:v>Clothing and footwear</x:v>
      </x:c>
      <x:c r="E91" s="14" t="str">
        <x:v>PLI_EU27_2020</x:v>
      </x:c>
      <x:c r="F91" s="14" t="str">
        <x:v>A</x:v>
      </x:c>
      <x:c r="G91" s="18" t="n">
        <x:v>2024</x:v>
      </x:c>
      <x:c r="H91" s="19" t="n">
        <x:v>97.8</x:v>
      </x:c>
      <x:c r="I91" s="14" t="str"/>
    </x:row>
    <x:row r="92">
      <x:c r="A92" s="14" t="str">
        <x:v>FR</x:v>
      </x:c>
      <x:c r="B92" s="14" t="str">
        <x:v>Frakkland</x:v>
      </x:c>
      <x:c r="C92" s="14" t="str">
        <x:v>A010405</x:v>
      </x:c>
      <x:c r="D92" s="14" t="str">
        <x:v>Electricity, gas and other fuels</x:v>
      </x:c>
      <x:c r="E92" s="14" t="str">
        <x:v>PLI_EU27_2020</x:v>
      </x:c>
      <x:c r="F92" s="14" t="str">
        <x:v>A</x:v>
      </x:c>
      <x:c r="G92" s="18" t="n">
        <x:v>2024</x:v>
      </x:c>
      <x:c r="H92" s="19" t="n">
        <x:v>101.6</x:v>
      </x:c>
      <x:c r="I92" s="14" t="str"/>
    </x:row>
    <x:row r="93">
      <x:c r="A93" s="14" t="str">
        <x:v>FR</x:v>
      </x:c>
      <x:c r="B93" s="14" t="str">
        <x:v>Frakkland</x:v>
      </x:c>
      <x:c r="C93" s="14" t="str">
        <x:v>A010703</x:v>
      </x:c>
      <x:c r="D93" s="14" t="str">
        <x:v>Transport services</x:v>
      </x:c>
      <x:c r="E93" s="14" t="str">
        <x:v>PLI_EU27_2020</x:v>
      </x:c>
      <x:c r="F93" s="14" t="str">
        <x:v>A</x:v>
      </x:c>
      <x:c r="G93" s="18" t="n">
        <x:v>2024</x:v>
      </x:c>
      <x:c r="H93" s="19" t="n">
        <x:v>116.3</x:v>
      </x:c>
      <x:c r="I93" s="14" t="str"/>
    </x:row>
    <x:row r="94">
      <x:c r="A94" s="14" t="str">
        <x:v>FR</x:v>
      </x:c>
      <x:c r="B94" s="14" t="str">
        <x:v>Frakkland</x:v>
      </x:c>
      <x:c r="C94" s="14" t="str">
        <x:v>A0111</x:v>
      </x:c>
      <x:c r="D94" s="14" t="str">
        <x:v>Restaurants and hotels</x:v>
      </x:c>
      <x:c r="E94" s="14" t="str">
        <x:v>PLI_EU27_2020</x:v>
      </x:c>
      <x:c r="F94" s="14" t="str">
        <x:v>A</x:v>
      </x:c>
      <x:c r="G94" s="18" t="n">
        <x:v>2024</x:v>
      </x:c>
      <x:c r="H94" s="19" t="n">
        <x:v>110</x:v>
      </x:c>
      <x:c r="I94" s="14" t="str"/>
    </x:row>
    <x:row r="95">
      <x:c r="A95" s="14" t="str">
        <x:v>FR</x:v>
      </x:c>
      <x:c r="B95" s="14" t="str">
        <x:v>Frakkland</x:v>
      </x:c>
      <x:c r="C95" s="14" t="str">
        <x:v>E011</x:v>
      </x:c>
      <x:c r="D95" s="14" t="str">
        <x:v>Household final consumption expenditure</x:v>
      </x:c>
      <x:c r="E95" s="14" t="str">
        <x:v>PLI_EU27_2020</x:v>
      </x:c>
      <x:c r="F95" s="14" t="str">
        <x:v>A</x:v>
      </x:c>
      <x:c r="G95" s="18" t="n">
        <x:v>2024</x:v>
      </x:c>
      <x:c r="H95" s="19" t="n">
        <x:v>111.2</x:v>
      </x:c>
      <x:c r="I95" s="14" t="str"/>
    </x:row>
    <x:row r="96">
      <x:c r="A96" s="14" t="str">
        <x:v>HR</x:v>
      </x:c>
      <x:c r="B96" s="14" t="str">
        <x:v>Króatía</x:v>
      </x:c>
      <x:c r="C96" s="14" t="str">
        <x:v>A01</x:v>
      </x:c>
      <x:c r="D96" s="14" t="str">
        <x:v>Actual individual consumption</x:v>
      </x:c>
      <x:c r="E96" s="14" t="str">
        <x:v>PLI_EU27_2020</x:v>
      </x:c>
      <x:c r="F96" s="14" t="str">
        <x:v>A</x:v>
      </x:c>
      <x:c r="G96" s="18" t="n">
        <x:v>2024</x:v>
      </x:c>
      <x:c r="H96" s="19" t="n">
        <x:v>73.3</x:v>
      </x:c>
      <x:c r="I96" s="14" t="str"/>
    </x:row>
    <x:row r="97">
      <x:c r="A97" s="14" t="str">
        <x:v>HR</x:v>
      </x:c>
      <x:c r="B97" s="14" t="str">
        <x:v>Króatía</x:v>
      </x:c>
      <x:c r="C97" s="14" t="str">
        <x:v>A0101</x:v>
      </x:c>
      <x:c r="D97" s="14" t="str">
        <x:v>Food and non-alcoholic beverages</x:v>
      </x:c>
      <x:c r="E97" s="14" t="str">
        <x:v>PLI_EU27_2020</x:v>
      </x:c>
      <x:c r="F97" s="14" t="str">
        <x:v>A</x:v>
      </x:c>
      <x:c r="G97" s="18" t="n">
        <x:v>2024</x:v>
      </x:c>
      <x:c r="H97" s="19" t="n">
        <x:v>103.7</x:v>
      </x:c>
      <x:c r="I97" s="14" t="str"/>
    </x:row>
    <x:row r="98">
      <x:c r="A98" s="14" t="str">
        <x:v>HR</x:v>
      </x:c>
      <x:c r="B98" s="14" t="str">
        <x:v>Króatía</x:v>
      </x:c>
      <x:c r="C98" s="14" t="str">
        <x:v>A0103</x:v>
      </x:c>
      <x:c r="D98" s="14" t="str">
        <x:v>Clothing and footwear</x:v>
      </x:c>
      <x:c r="E98" s="14" t="str">
        <x:v>PLI_EU27_2020</x:v>
      </x:c>
      <x:c r="F98" s="14" t="str">
        <x:v>A</x:v>
      </x:c>
      <x:c r="G98" s="18" t="n">
        <x:v>2024</x:v>
      </x:c>
      <x:c r="H98" s="19" t="n">
        <x:v>96.1</x:v>
      </x:c>
      <x:c r="I98" s="14" t="str"/>
    </x:row>
    <x:row r="99">
      <x:c r="A99" s="14" t="str">
        <x:v>HR</x:v>
      </x:c>
      <x:c r="B99" s="14" t="str">
        <x:v>Króatía</x:v>
      </x:c>
      <x:c r="C99" s="14" t="str">
        <x:v>A010405</x:v>
      </x:c>
      <x:c r="D99" s="14" t="str">
        <x:v>Electricity, gas and other fuels</x:v>
      </x:c>
      <x:c r="E99" s="14" t="str">
        <x:v>PLI_EU27_2020</x:v>
      </x:c>
      <x:c r="F99" s="14" t="str">
        <x:v>A</x:v>
      </x:c>
      <x:c r="G99" s="18" t="n">
        <x:v>2024</x:v>
      </x:c>
      <x:c r="H99" s="19" t="n">
        <x:v>55.3</x:v>
      </x:c>
      <x:c r="I99" s="14" t="str"/>
    </x:row>
    <x:row r="100">
      <x:c r="A100" s="14" t="str">
        <x:v>HR</x:v>
      </x:c>
      <x:c r="B100" s="14" t="str">
        <x:v>Króatía</x:v>
      </x:c>
      <x:c r="C100" s="14" t="str">
        <x:v>A010703</x:v>
      </x:c>
      <x:c r="D100" s="14" t="str">
        <x:v>Transport services</x:v>
      </x:c>
      <x:c r="E100" s="14" t="str">
        <x:v>PLI_EU27_2020</x:v>
      </x:c>
      <x:c r="F100" s="14" t="str">
        <x:v>A</x:v>
      </x:c>
      <x:c r="G100" s="18" t="n">
        <x:v>2024</x:v>
      </x:c>
      <x:c r="H100" s="19" t="n">
        <x:v>87</x:v>
      </x:c>
      <x:c r="I100" s="14" t="str"/>
    </x:row>
    <x:row r="101">
      <x:c r="A101" s="14" t="str">
        <x:v>HR</x:v>
      </x:c>
      <x:c r="B101" s="14" t="str">
        <x:v>Króatía</x:v>
      </x:c>
      <x:c r="C101" s="14" t="str">
        <x:v>A0111</x:v>
      </x:c>
      <x:c r="D101" s="14" t="str">
        <x:v>Restaurants and hotels</x:v>
      </x:c>
      <x:c r="E101" s="14" t="str">
        <x:v>PLI_EU27_2020</x:v>
      </x:c>
      <x:c r="F101" s="14" t="str">
        <x:v>A</x:v>
      </x:c>
      <x:c r="G101" s="18" t="n">
        <x:v>2024</x:v>
      </x:c>
      <x:c r="H101" s="19" t="n">
        <x:v>95.4</x:v>
      </x:c>
      <x:c r="I101" s="14" t="str"/>
    </x:row>
    <x:row r="102">
      <x:c r="A102" s="14" t="str">
        <x:v>HR</x:v>
      </x:c>
      <x:c r="B102" s="14" t="str">
        <x:v>Króatía</x:v>
      </x:c>
      <x:c r="C102" s="14" t="str">
        <x:v>E011</x:v>
      </x:c>
      <x:c r="D102" s="14" t="str">
        <x:v>Household final consumption expenditure</x:v>
      </x:c>
      <x:c r="E102" s="14" t="str">
        <x:v>PLI_EU27_2020</x:v>
      </x:c>
      <x:c r="F102" s="14" t="str">
        <x:v>A</x:v>
      </x:c>
      <x:c r="G102" s="18" t="n">
        <x:v>2024</x:v>
      </x:c>
      <x:c r="H102" s="19" t="n">
        <x:v>76.3</x:v>
      </x:c>
      <x:c r="I102" s="14" t="str"/>
    </x:row>
    <x:row r="103">
      <x:c r="A103" s="14" t="str">
        <x:v>HU</x:v>
      </x:c>
      <x:c r="B103" s="14" t="str">
        <x:v>Ungverjaland</x:v>
      </x:c>
      <x:c r="C103" s="14" t="str">
        <x:v>A01</x:v>
      </x:c>
      <x:c r="D103" s="14" t="str">
        <x:v>Actual individual consumption</x:v>
      </x:c>
      <x:c r="E103" s="14" t="str">
        <x:v>PLI_EU27_2020</x:v>
      </x:c>
      <x:c r="F103" s="14" t="str">
        <x:v>A</x:v>
      </x:c>
      <x:c r="G103" s="18" t="n">
        <x:v>2024</x:v>
      </x:c>
      <x:c r="H103" s="19" t="n">
        <x:v>68.3</x:v>
      </x:c>
      <x:c r="I103" s="14" t="str"/>
    </x:row>
    <x:row r="104">
      <x:c r="A104" s="14" t="str">
        <x:v>HU</x:v>
      </x:c>
      <x:c r="B104" s="14" t="str">
        <x:v>Ungverjaland</x:v>
      </x:c>
      <x:c r="C104" s="14" t="str">
        <x:v>A0101</x:v>
      </x:c>
      <x:c r="D104" s="14" t="str">
        <x:v>Food and non-alcoholic beverages</x:v>
      </x:c>
      <x:c r="E104" s="14" t="str">
        <x:v>PLI_EU27_2020</x:v>
      </x:c>
      <x:c r="F104" s="14" t="str">
        <x:v>A</x:v>
      </x:c>
      <x:c r="G104" s="18" t="n">
        <x:v>2024</x:v>
      </x:c>
      <x:c r="H104" s="19" t="n">
        <x:v>94.8</x:v>
      </x:c>
      <x:c r="I104" s="14" t="str"/>
    </x:row>
    <x:row r="105">
      <x:c r="A105" s="14" t="str">
        <x:v>HU</x:v>
      </x:c>
      <x:c r="B105" s="14" t="str">
        <x:v>Ungverjaland</x:v>
      </x:c>
      <x:c r="C105" s="14" t="str">
        <x:v>A0103</x:v>
      </x:c>
      <x:c r="D105" s="14" t="str">
        <x:v>Clothing and footwear</x:v>
      </x:c>
      <x:c r="E105" s="14" t="str">
        <x:v>PLI_EU27_2020</x:v>
      </x:c>
      <x:c r="F105" s="14" t="str">
        <x:v>A</x:v>
      </x:c>
      <x:c r="G105" s="18" t="n">
        <x:v>2024</x:v>
      </x:c>
      <x:c r="H105" s="19" t="n">
        <x:v>86.6</x:v>
      </x:c>
      <x:c r="I105" s="14" t="str"/>
    </x:row>
    <x:row r="106">
      <x:c r="A106" s="14" t="str">
        <x:v>HU</x:v>
      </x:c>
      <x:c r="B106" s="14" t="str">
        <x:v>Ungverjaland</x:v>
      </x:c>
      <x:c r="C106" s="14" t="str">
        <x:v>A010405</x:v>
      </x:c>
      <x:c r="D106" s="14" t="str">
        <x:v>Electricity, gas and other fuels</x:v>
      </x:c>
      <x:c r="E106" s="14" t="str">
        <x:v>PLI_EU27_2020</x:v>
      </x:c>
      <x:c r="F106" s="14" t="str">
        <x:v>A</x:v>
      </x:c>
      <x:c r="G106" s="18" t="n">
        <x:v>2024</x:v>
      </x:c>
      <x:c r="H106" s="19" t="n">
        <x:v>37.9</x:v>
      </x:c>
      <x:c r="I106" s="14" t="str"/>
    </x:row>
    <x:row r="107">
      <x:c r="A107" s="14" t="str">
        <x:v>HU</x:v>
      </x:c>
      <x:c r="B107" s="14" t="str">
        <x:v>Ungverjaland</x:v>
      </x:c>
      <x:c r="C107" s="14" t="str">
        <x:v>A010703</x:v>
      </x:c>
      <x:c r="D107" s="14" t="str">
        <x:v>Transport services</x:v>
      </x:c>
      <x:c r="E107" s="14" t="str">
        <x:v>PLI_EU27_2020</x:v>
      </x:c>
      <x:c r="F107" s="14" t="str">
        <x:v>A</x:v>
      </x:c>
      <x:c r="G107" s="18" t="n">
        <x:v>2024</x:v>
      </x:c>
      <x:c r="H107" s="19" t="n">
        <x:v>61.6</x:v>
      </x:c>
      <x:c r="I107" s="14" t="str"/>
    </x:row>
    <x:row r="108">
      <x:c r="A108" s="14" t="str">
        <x:v>HU</x:v>
      </x:c>
      <x:c r="B108" s="14" t="str">
        <x:v>Ungverjaland</x:v>
      </x:c>
      <x:c r="C108" s="14" t="str">
        <x:v>A0111</x:v>
      </x:c>
      <x:c r="D108" s="14" t="str">
        <x:v>Restaurants and hotels</x:v>
      </x:c>
      <x:c r="E108" s="14" t="str">
        <x:v>PLI_EU27_2020</x:v>
      </x:c>
      <x:c r="F108" s="14" t="str">
        <x:v>A</x:v>
      </x:c>
      <x:c r="G108" s="18" t="n">
        <x:v>2024</x:v>
      </x:c>
      <x:c r="H108" s="19" t="n">
        <x:v>71.8</x:v>
      </x:c>
      <x:c r="I108" s="14" t="str"/>
    </x:row>
    <x:row r="109">
      <x:c r="A109" s="14" t="str">
        <x:v>HU</x:v>
      </x:c>
      <x:c r="B109" s="14" t="str">
        <x:v>Ungverjaland</x:v>
      </x:c>
      <x:c r="C109" s="14" t="str">
        <x:v>E011</x:v>
      </x:c>
      <x:c r="D109" s="14" t="str">
        <x:v>Household final consumption expenditure</x:v>
      </x:c>
      <x:c r="E109" s="14" t="str">
        <x:v>PLI_EU27_2020</x:v>
      </x:c>
      <x:c r="F109" s="14" t="str">
        <x:v>A</x:v>
      </x:c>
      <x:c r="G109" s="18" t="n">
        <x:v>2024</x:v>
      </x:c>
      <x:c r="H109" s="19" t="n">
        <x:v>73.5</x:v>
      </x:c>
      <x:c r="I109" s="14" t="str"/>
    </x:row>
    <x:row r="110">
      <x:c r="A110" s="14" t="str">
        <x:v>IE</x:v>
      </x:c>
      <x:c r="B110" s="14" t="str">
        <x:v>Írland</x:v>
      </x:c>
      <x:c r="C110" s="14" t="str">
        <x:v>A01</x:v>
      </x:c>
      <x:c r="D110" s="14" t="str">
        <x:v>Actual individual consumption</x:v>
      </x:c>
      <x:c r="E110" s="14" t="str">
        <x:v>PLI_EU27_2020</x:v>
      </x:c>
      <x:c r="F110" s="14" t="str">
        <x:v>A</x:v>
      </x:c>
      <x:c r="G110" s="18" t="n">
        <x:v>2024</x:v>
      </x:c>
      <x:c r="H110" s="19" t="n">
        <x:v>141.2</x:v>
      </x:c>
      <x:c r="I110" s="14" t="str"/>
    </x:row>
    <x:row r="111">
      <x:c r="A111" s="14" t="str">
        <x:v>IE</x:v>
      </x:c>
      <x:c r="B111" s="14" t="str">
        <x:v>Írland</x:v>
      </x:c>
      <x:c r="C111" s="14" t="str">
        <x:v>A0101</x:v>
      </x:c>
      <x:c r="D111" s="14" t="str">
        <x:v>Food and non-alcoholic beverages</x:v>
      </x:c>
      <x:c r="E111" s="14" t="str">
        <x:v>PLI_EU27_2020</x:v>
      </x:c>
      <x:c r="F111" s="14" t="str">
        <x:v>A</x:v>
      </x:c>
      <x:c r="G111" s="18" t="n">
        <x:v>2024</x:v>
      </x:c>
      <x:c r="H111" s="19" t="n">
        <x:v>114.5</x:v>
      </x:c>
      <x:c r="I111" s="14" t="str"/>
    </x:row>
    <x:row r="112">
      <x:c r="A112" s="14" t="str">
        <x:v>IE</x:v>
      </x:c>
      <x:c r="B112" s="14" t="str">
        <x:v>Írland</x:v>
      </x:c>
      <x:c r="C112" s="14" t="str">
        <x:v>A0103</x:v>
      </x:c>
      <x:c r="D112" s="14" t="str">
        <x:v>Clothing and footwear</x:v>
      </x:c>
      <x:c r="E112" s="14" t="str">
        <x:v>PLI_EU27_2020</x:v>
      </x:c>
      <x:c r="F112" s="14" t="str">
        <x:v>A</x:v>
      </x:c>
      <x:c r="G112" s="18" t="n">
        <x:v>2024</x:v>
      </x:c>
      <x:c r="H112" s="19" t="n">
        <x:v>100.2</x:v>
      </x:c>
      <x:c r="I112" s="14" t="str"/>
    </x:row>
    <x:row r="113">
      <x:c r="A113" s="14" t="str">
        <x:v>IE</x:v>
      </x:c>
      <x:c r="B113" s="14" t="str">
        <x:v>Írland</x:v>
      </x:c>
      <x:c r="C113" s="14" t="str">
        <x:v>A010405</x:v>
      </x:c>
      <x:c r="D113" s="14" t="str">
        <x:v>Electricity, gas and other fuels</x:v>
      </x:c>
      <x:c r="E113" s="14" t="str">
        <x:v>PLI_EU27_2020</x:v>
      </x:c>
      <x:c r="F113" s="14" t="str">
        <x:v>A</x:v>
      </x:c>
      <x:c r="G113" s="18" t="n">
        <x:v>2024</x:v>
      </x:c>
      <x:c r="H113" s="19" t="n">
        <x:v>117.4</x:v>
      </x:c>
      <x:c r="I113" s="14" t="str"/>
    </x:row>
    <x:row r="114">
      <x:c r="A114" s="14" t="str">
        <x:v>IE</x:v>
      </x:c>
      <x:c r="B114" s="14" t="str">
        <x:v>Írland</x:v>
      </x:c>
      <x:c r="C114" s="14" t="str">
        <x:v>A010703</x:v>
      </x:c>
      <x:c r="D114" s="14" t="str">
        <x:v>Transport services</x:v>
      </x:c>
      <x:c r="E114" s="14" t="str">
        <x:v>PLI_EU27_2020</x:v>
      </x:c>
      <x:c r="F114" s="14" t="str">
        <x:v>A</x:v>
      </x:c>
      <x:c r="G114" s="18" t="n">
        <x:v>2024</x:v>
      </x:c>
      <x:c r="H114" s="19" t="n">
        <x:v>115.1</x:v>
      </x:c>
      <x:c r="I114" s="14" t="str"/>
    </x:row>
    <x:row r="115">
      <x:c r="A115" s="14" t="str">
        <x:v>IE</x:v>
      </x:c>
      <x:c r="B115" s="14" t="str">
        <x:v>Írland</x:v>
      </x:c>
      <x:c r="C115" s="14" t="str">
        <x:v>A0111</x:v>
      </x:c>
      <x:c r="D115" s="14" t="str">
        <x:v>Restaurants and hotels</x:v>
      </x:c>
      <x:c r="E115" s="14" t="str">
        <x:v>PLI_EU27_2020</x:v>
      </x:c>
      <x:c r="F115" s="14" t="str">
        <x:v>A</x:v>
      </x:c>
      <x:c r="G115" s="18" t="n">
        <x:v>2024</x:v>
      </x:c>
      <x:c r="H115" s="19" t="n">
        <x:v>129.3</x:v>
      </x:c>
      <x:c r="I115" s="14" t="str"/>
    </x:row>
    <x:row r="116">
      <x:c r="A116" s="14" t="str">
        <x:v>IE</x:v>
      </x:c>
      <x:c r="B116" s="14" t="str">
        <x:v>Írland</x:v>
      </x:c>
      <x:c r="C116" s="14" t="str">
        <x:v>E011</x:v>
      </x:c>
      <x:c r="D116" s="14" t="str">
        <x:v>Household final consumption expenditure</x:v>
      </x:c>
      <x:c r="E116" s="14" t="str">
        <x:v>PLI_EU27_2020</x:v>
      </x:c>
      <x:c r="F116" s="14" t="str">
        <x:v>A</x:v>
      </x:c>
      <x:c r="G116" s="18" t="n">
        <x:v>2024</x:v>
      </x:c>
      <x:c r="H116" s="19" t="n">
        <x:v>138.1</x:v>
      </x:c>
      <x:c r="I116" s="14" t="str"/>
    </x:row>
    <x:row r="117">
      <x:c r="A117" s="14" t="str">
        <x:v>IS</x:v>
      </x:c>
      <x:c r="B117" s="14" t="str">
        <x:v>Ísland</x:v>
      </x:c>
      <x:c r="C117" s="14" t="str">
        <x:v>A01</x:v>
      </x:c>
      <x:c r="D117" s="14" t="str">
        <x:v>Actual individual consumption</x:v>
      </x:c>
      <x:c r="E117" s="14" t="str">
        <x:v>PLI_EU27_2020</x:v>
      </x:c>
      <x:c r="F117" s="14" t="str">
        <x:v>A</x:v>
      </x:c>
      <x:c r="G117" s="18" t="n">
        <x:v>2024</x:v>
      </x:c>
      <x:c r="H117" s="19" t="n">
        <x:v>172.7</x:v>
      </x:c>
      <x:c r="I117" s="14" t="str"/>
    </x:row>
    <x:row r="118">
      <x:c r="A118" s="14" t="str">
        <x:v>IS</x:v>
      </x:c>
      <x:c r="B118" s="14" t="str">
        <x:v>Ísland</x:v>
      </x:c>
      <x:c r="C118" s="14" t="str">
        <x:v>A0101</x:v>
      </x:c>
      <x:c r="D118" s="14" t="str">
        <x:v>Food and non-alcoholic beverages</x:v>
      </x:c>
      <x:c r="E118" s="14" t="str">
        <x:v>PLI_EU27_2020</x:v>
      </x:c>
      <x:c r="F118" s="14" t="str">
        <x:v>A</x:v>
      </x:c>
      <x:c r="G118" s="18" t="n">
        <x:v>2024</x:v>
      </x:c>
      <x:c r="H118" s="19" t="n">
        <x:v>143.9</x:v>
      </x:c>
      <x:c r="I118" s="14" t="str"/>
    </x:row>
    <x:row r="119">
      <x:c r="A119" s="14" t="str">
        <x:v>IS</x:v>
      </x:c>
      <x:c r="B119" s="14" t="str">
        <x:v>Ísland</x:v>
      </x:c>
      <x:c r="C119" s="14" t="str">
        <x:v>A0103</x:v>
      </x:c>
      <x:c r="D119" s="14" t="str">
        <x:v>Clothing and footwear</x:v>
      </x:c>
      <x:c r="E119" s="14" t="str">
        <x:v>PLI_EU27_2020</x:v>
      </x:c>
      <x:c r="F119" s="14" t="str">
        <x:v>A</x:v>
      </x:c>
      <x:c r="G119" s="18" t="n">
        <x:v>2024</x:v>
      </x:c>
      <x:c r="H119" s="19" t="n">
        <x:v>143.4</x:v>
      </x:c>
      <x:c r="I119" s="14" t="str"/>
    </x:row>
    <x:row r="120">
      <x:c r="A120" s="14" t="str">
        <x:v>IS</x:v>
      </x:c>
      <x:c r="B120" s="14" t="str">
        <x:v>Ísland</x:v>
      </x:c>
      <x:c r="C120" s="14" t="str">
        <x:v>A010405</x:v>
      </x:c>
      <x:c r="D120" s="14" t="str">
        <x:v>Electricity, gas and other fuels</x:v>
      </x:c>
      <x:c r="E120" s="14" t="str">
        <x:v>PLI_EU27_2020</x:v>
      </x:c>
      <x:c r="F120" s="14" t="str">
        <x:v>A</x:v>
      </x:c>
      <x:c r="G120" s="18" t="n">
        <x:v>2024</x:v>
      </x:c>
      <x:c r="H120" s="19" t="n">
        <x:v>64.2</x:v>
      </x:c>
      <x:c r="I120" s="14" t="str"/>
    </x:row>
    <x:row r="121">
      <x:c r="A121" s="14" t="str">
        <x:v>IS</x:v>
      </x:c>
      <x:c r="B121" s="14" t="str">
        <x:v>Ísland</x:v>
      </x:c>
      <x:c r="C121" s="14" t="str">
        <x:v>A010703</x:v>
      </x:c>
      <x:c r="D121" s="14" t="str">
        <x:v>Transport services</x:v>
      </x:c>
      <x:c r="E121" s="14" t="str">
        <x:v>PLI_EU27_2020</x:v>
      </x:c>
      <x:c r="F121" s="14" t="str">
        <x:v>A</x:v>
      </x:c>
      <x:c r="G121" s="18" t="n">
        <x:v>2024</x:v>
      </x:c>
      <x:c r="H121" s="19" t="n">
        <x:v>169.6</x:v>
      </x:c>
      <x:c r="I121" s="14" t="str"/>
    </x:row>
    <x:row r="122">
      <x:c r="A122" s="14" t="str">
        <x:v>IS</x:v>
      </x:c>
      <x:c r="B122" s="14" t="str">
        <x:v>Ísland</x:v>
      </x:c>
      <x:c r="C122" s="14" t="str">
        <x:v>A0111</x:v>
      </x:c>
      <x:c r="D122" s="14" t="str">
        <x:v>Restaurants and hotels</x:v>
      </x:c>
      <x:c r="E122" s="14" t="str">
        <x:v>PLI_EU27_2020</x:v>
      </x:c>
      <x:c r="F122" s="14" t="str">
        <x:v>A</x:v>
      </x:c>
      <x:c r="G122" s="18" t="n">
        <x:v>2024</x:v>
      </x:c>
      <x:c r="H122" s="19" t="n">
        <x:v>167.3</x:v>
      </x:c>
      <x:c r="I122" s="14" t="str"/>
    </x:row>
    <x:row r="123">
      <x:c r="A123" s="14" t="str">
        <x:v>IS</x:v>
      </x:c>
      <x:c r="B123" s="14" t="str">
        <x:v>Ísland</x:v>
      </x:c>
      <x:c r="C123" s="14" t="str">
        <x:v>E011</x:v>
      </x:c>
      <x:c r="D123" s="14" t="str">
        <x:v>Household final consumption expenditure</x:v>
      </x:c>
      <x:c r="E123" s="14" t="str">
        <x:v>PLI_EU27_2020</x:v>
      </x:c>
      <x:c r="F123" s="14" t="str">
        <x:v>A</x:v>
      </x:c>
      <x:c r="G123" s="18" t="n">
        <x:v>2024</x:v>
      </x:c>
      <x:c r="H123" s="19" t="n">
        <x:v>161.7</x:v>
      </x:c>
      <x:c r="I123" s="14" t="str"/>
    </x:row>
    <x:row r="124">
      <x:c r="A124" s="14" t="str">
        <x:v>IT</x:v>
      </x:c>
      <x:c r="B124" s="14" t="str">
        <x:v>Ítalía</x:v>
      </x:c>
      <x:c r="C124" s="14" t="str">
        <x:v>A01</x:v>
      </x:c>
      <x:c r="D124" s="14" t="str">
        <x:v>Actual individual consumption</x:v>
      </x:c>
      <x:c r="E124" s="14" t="str">
        <x:v>PLI_EU27_2020</x:v>
      </x:c>
      <x:c r="F124" s="14" t="str">
        <x:v>A</x:v>
      </x:c>
      <x:c r="G124" s="18" t="n">
        <x:v>2024</x:v>
      </x:c>
      <x:c r="H124" s="19" t="n">
        <x:v>98.1</x:v>
      </x:c>
      <x:c r="I124" s="14" t="str"/>
    </x:row>
    <x:row r="125">
      <x:c r="A125" s="14" t="str">
        <x:v>IT</x:v>
      </x:c>
      <x:c r="B125" s="14" t="str">
        <x:v>Ítalía</x:v>
      </x:c>
      <x:c r="C125" s="14" t="str">
        <x:v>A0101</x:v>
      </x:c>
      <x:c r="D125" s="14" t="str">
        <x:v>Food and non-alcoholic beverages</x:v>
      </x:c>
      <x:c r="E125" s="14" t="str">
        <x:v>PLI_EU27_2020</x:v>
      </x:c>
      <x:c r="F125" s="14" t="str">
        <x:v>A</x:v>
      </x:c>
      <x:c r="G125" s="18" t="n">
        <x:v>2024</x:v>
      </x:c>
      <x:c r="H125" s="19" t="n">
        <x:v>101.7</x:v>
      </x:c>
      <x:c r="I125" s="14" t="str"/>
    </x:row>
    <x:row r="126">
      <x:c r="A126" s="14" t="str">
        <x:v>IT</x:v>
      </x:c>
      <x:c r="B126" s="14" t="str">
        <x:v>Ítalía</x:v>
      </x:c>
      <x:c r="C126" s="14" t="str">
        <x:v>A0103</x:v>
      </x:c>
      <x:c r="D126" s="14" t="str">
        <x:v>Clothing and footwear</x:v>
      </x:c>
      <x:c r="E126" s="14" t="str">
        <x:v>PLI_EU27_2020</x:v>
      </x:c>
      <x:c r="F126" s="14" t="str">
        <x:v>A</x:v>
      </x:c>
      <x:c r="G126" s="18" t="n">
        <x:v>2024</x:v>
      </x:c>
      <x:c r="H126" s="19" t="n">
        <x:v>106.9</x:v>
      </x:c>
      <x:c r="I126" s="14" t="str"/>
    </x:row>
    <x:row r="127">
      <x:c r="A127" s="14" t="str">
        <x:v>IT</x:v>
      </x:c>
      <x:c r="B127" s="14" t="str">
        <x:v>Ítalía</x:v>
      </x:c>
      <x:c r="C127" s="14" t="str">
        <x:v>A010405</x:v>
      </x:c>
      <x:c r="D127" s="14" t="str">
        <x:v>Electricity, gas and other fuels</x:v>
      </x:c>
      <x:c r="E127" s="14" t="str">
        <x:v>PLI_EU27_2020</x:v>
      </x:c>
      <x:c r="F127" s="14" t="str">
        <x:v>A</x:v>
      </x:c>
      <x:c r="G127" s="18" t="n">
        <x:v>2024</x:v>
      </x:c>
      <x:c r="H127" s="19" t="n">
        <x:v>117.9</x:v>
      </x:c>
      <x:c r="I127" s="14" t="str"/>
    </x:row>
    <x:row r="128">
      <x:c r="A128" s="14" t="str">
        <x:v>IT</x:v>
      </x:c>
      <x:c r="B128" s="14" t="str">
        <x:v>Ítalía</x:v>
      </x:c>
      <x:c r="C128" s="14" t="str">
        <x:v>A010703</x:v>
      </x:c>
      <x:c r="D128" s="14" t="str">
        <x:v>Transport services</x:v>
      </x:c>
      <x:c r="E128" s="14" t="str">
        <x:v>PLI_EU27_2020</x:v>
      </x:c>
      <x:c r="F128" s="14" t="str">
        <x:v>A</x:v>
      </x:c>
      <x:c r="G128" s="18" t="n">
        <x:v>2024</x:v>
      </x:c>
      <x:c r="H128" s="19" t="n">
        <x:v>84.8</x:v>
      </x:c>
      <x:c r="I128" s="14" t="str"/>
    </x:row>
    <x:row r="129">
      <x:c r="A129" s="14" t="str">
        <x:v>IT</x:v>
      </x:c>
      <x:c r="B129" s="14" t="str">
        <x:v>Ítalía</x:v>
      </x:c>
      <x:c r="C129" s="14" t="str">
        <x:v>A0111</x:v>
      </x:c>
      <x:c r="D129" s="14" t="str">
        <x:v>Restaurants and hotels</x:v>
      </x:c>
      <x:c r="E129" s="14" t="str">
        <x:v>PLI_EU27_2020</x:v>
      </x:c>
      <x:c r="F129" s="14" t="str">
        <x:v>A</x:v>
      </x:c>
      <x:c r="G129" s="18" t="n">
        <x:v>2024</x:v>
      </x:c>
      <x:c r="H129" s="19" t="n">
        <x:v>106.9</x:v>
      </x:c>
      <x:c r="I129" s="14" t="str"/>
    </x:row>
    <x:row r="130">
      <x:c r="A130" s="14" t="str">
        <x:v>IT</x:v>
      </x:c>
      <x:c r="B130" s="14" t="str">
        <x:v>Ítalía</x:v>
      </x:c>
      <x:c r="C130" s="14" t="str">
        <x:v>E011</x:v>
      </x:c>
      <x:c r="D130" s="14" t="str">
        <x:v>Household final consumption expenditure</x:v>
      </x:c>
      <x:c r="E130" s="14" t="str">
        <x:v>PLI_EU27_2020</x:v>
      </x:c>
      <x:c r="F130" s="14" t="str">
        <x:v>A</x:v>
      </x:c>
      <x:c r="G130" s="18" t="n">
        <x:v>2024</x:v>
      </x:c>
      <x:c r="H130" s="19" t="n">
        <x:v>97.5</x:v>
      </x:c>
      <x:c r="I130" s="14" t="str"/>
    </x:row>
    <x:row r="131">
      <x:c r="A131" s="14" t="str">
        <x:v>LT</x:v>
      </x:c>
      <x:c r="B131" s="14" t="str">
        <x:v>Litháen</x:v>
      </x:c>
      <x:c r="C131" s="14" t="str">
        <x:v>A01</x:v>
      </x:c>
      <x:c r="D131" s="14" t="str">
        <x:v>Actual individual consumption</x:v>
      </x:c>
      <x:c r="E131" s="14" t="str">
        <x:v>PLI_EU27_2020</x:v>
      </x:c>
      <x:c r="F131" s="14" t="str">
        <x:v>A</x:v>
      </x:c>
      <x:c r="G131" s="18" t="n">
        <x:v>2024</x:v>
      </x:c>
      <x:c r="H131" s="19" t="n">
        <x:v>78.2</x:v>
      </x:c>
      <x:c r="I131" s="14" t="str"/>
    </x:row>
    <x:row r="132">
      <x:c r="A132" s="14" t="str">
        <x:v>LT</x:v>
      </x:c>
      <x:c r="B132" s="14" t="str">
        <x:v>Litháen</x:v>
      </x:c>
      <x:c r="C132" s="14" t="str">
        <x:v>A0101</x:v>
      </x:c>
      <x:c r="D132" s="14" t="str">
        <x:v>Food and non-alcoholic beverages</x:v>
      </x:c>
      <x:c r="E132" s="14" t="str">
        <x:v>PLI_EU27_2020</x:v>
      </x:c>
      <x:c r="F132" s="14" t="str">
        <x:v>A</x:v>
      </x:c>
      <x:c r="G132" s="18" t="n">
        <x:v>2024</x:v>
      </x:c>
      <x:c r="H132" s="19" t="n">
        <x:v>101.2</x:v>
      </x:c>
      <x:c r="I132" s="14" t="str"/>
    </x:row>
    <x:row r="133">
      <x:c r="A133" s="14" t="str">
        <x:v>LT</x:v>
      </x:c>
      <x:c r="B133" s="14" t="str">
        <x:v>Litháen</x:v>
      </x:c>
      <x:c r="C133" s="14" t="str">
        <x:v>A0103</x:v>
      </x:c>
      <x:c r="D133" s="14" t="str">
        <x:v>Clothing and footwear</x:v>
      </x:c>
      <x:c r="E133" s="14" t="str">
        <x:v>PLI_EU27_2020</x:v>
      </x:c>
      <x:c r="F133" s="14" t="str">
        <x:v>A</x:v>
      </x:c>
      <x:c r="G133" s="18" t="n">
        <x:v>2024</x:v>
      </x:c>
      <x:c r="H133" s="19" t="n">
        <x:v>106.5</x:v>
      </x:c>
      <x:c r="I133" s="14" t="str"/>
    </x:row>
    <x:row r="134">
      <x:c r="A134" s="14" t="str">
        <x:v>LT</x:v>
      </x:c>
      <x:c r="B134" s="14" t="str">
        <x:v>Litháen</x:v>
      </x:c>
      <x:c r="C134" s="14" t="str">
        <x:v>A010405</x:v>
      </x:c>
      <x:c r="D134" s="14" t="str">
        <x:v>Electricity, gas and other fuels</x:v>
      </x:c>
      <x:c r="E134" s="14" t="str">
        <x:v>PLI_EU27_2020</x:v>
      </x:c>
      <x:c r="F134" s="14" t="str">
        <x:v>A</x:v>
      </x:c>
      <x:c r="G134" s="18" t="n">
        <x:v>2024</x:v>
      </x:c>
      <x:c r="H134" s="19" t="n">
        <x:v>72.9</x:v>
      </x:c>
      <x:c r="I134" s="14" t="str"/>
    </x:row>
    <x:row r="135">
      <x:c r="A135" s="14" t="str">
        <x:v>LT</x:v>
      </x:c>
      <x:c r="B135" s="14" t="str">
        <x:v>Litháen</x:v>
      </x:c>
      <x:c r="C135" s="14" t="str">
        <x:v>A010703</x:v>
      </x:c>
      <x:c r="D135" s="14" t="str">
        <x:v>Transport services</x:v>
      </x:c>
      <x:c r="E135" s="14" t="str">
        <x:v>PLI_EU27_2020</x:v>
      </x:c>
      <x:c r="F135" s="14" t="str">
        <x:v>A</x:v>
      </x:c>
      <x:c r="G135" s="18" t="n">
        <x:v>2024</x:v>
      </x:c>
      <x:c r="H135" s="19" t="n">
        <x:v>77.4</x:v>
      </x:c>
      <x:c r="I135" s="14" t="str"/>
    </x:row>
    <x:row r="136">
      <x:c r="A136" s="14" t="str">
        <x:v>LT</x:v>
      </x:c>
      <x:c r="B136" s="14" t="str">
        <x:v>Litháen</x:v>
      </x:c>
      <x:c r="C136" s="14" t="str">
        <x:v>A0111</x:v>
      </x:c>
      <x:c r="D136" s="14" t="str">
        <x:v>Restaurants and hotels</x:v>
      </x:c>
      <x:c r="E136" s="14" t="str">
        <x:v>PLI_EU27_2020</x:v>
      </x:c>
      <x:c r="F136" s="14" t="str">
        <x:v>A</x:v>
      </x:c>
      <x:c r="G136" s="18" t="n">
        <x:v>2024</x:v>
      </x:c>
      <x:c r="H136" s="19" t="n">
        <x:v>86.1</x:v>
      </x:c>
      <x:c r="I136" s="14" t="str"/>
    </x:row>
    <x:row r="137">
      <x:c r="A137" s="14" t="str">
        <x:v>LT</x:v>
      </x:c>
      <x:c r="B137" s="14" t="str">
        <x:v>Litháen</x:v>
      </x:c>
      <x:c r="C137" s="14" t="str">
        <x:v>E011</x:v>
      </x:c>
      <x:c r="D137" s="14" t="str">
        <x:v>Household final consumption expenditure</x:v>
      </x:c>
      <x:c r="E137" s="14" t="str">
        <x:v>PLI_EU27_2020</x:v>
      </x:c>
      <x:c r="F137" s="14" t="str">
        <x:v>A</x:v>
      </x:c>
      <x:c r="G137" s="18" t="n">
        <x:v>2024</x:v>
      </x:c>
      <x:c r="H137" s="19" t="n">
        <x:v>81.6</x:v>
      </x:c>
      <x:c r="I137" s="14" t="str"/>
    </x:row>
    <x:row r="138">
      <x:c r="A138" s="14" t="str">
        <x:v>LU</x:v>
      </x:c>
      <x:c r="B138" s="14" t="str">
        <x:v>Lúxemborg</x:v>
      </x:c>
      <x:c r="C138" s="14" t="str">
        <x:v>A01</x:v>
      </x:c>
      <x:c r="D138" s="14" t="str">
        <x:v>Actual individual consumption</x:v>
      </x:c>
      <x:c r="E138" s="14" t="str">
        <x:v>PLI_EU27_2020</x:v>
      </x:c>
      <x:c r="F138" s="14" t="str">
        <x:v>A</x:v>
      </x:c>
      <x:c r="G138" s="18" t="n">
        <x:v>2024</x:v>
      </x:c>
      <x:c r="H138" s="19" t="n">
        <x:v>150.7</x:v>
      </x:c>
      <x:c r="I138" s="14" t="str"/>
    </x:row>
    <x:row r="139">
      <x:c r="A139" s="14" t="str">
        <x:v>LU</x:v>
      </x:c>
      <x:c r="B139" s="14" t="str">
        <x:v>Lúxemborg</x:v>
      </x:c>
      <x:c r="C139" s="14" t="str">
        <x:v>A0101</x:v>
      </x:c>
      <x:c r="D139" s="14" t="str">
        <x:v>Food and non-alcoholic beverages</x:v>
      </x:c>
      <x:c r="E139" s="14" t="str">
        <x:v>PLI_EU27_2020</x:v>
      </x:c>
      <x:c r="F139" s="14" t="str">
        <x:v>A</x:v>
      </x:c>
      <x:c r="G139" s="18" t="n">
        <x:v>2024</x:v>
      </x:c>
      <x:c r="H139" s="19" t="n">
        <x:v>124.8</x:v>
      </x:c>
      <x:c r="I139" s="14" t="str"/>
    </x:row>
    <x:row r="140">
      <x:c r="A140" s="14" t="str">
        <x:v>LU</x:v>
      </x:c>
      <x:c r="B140" s="14" t="str">
        <x:v>Lúxemborg</x:v>
      </x:c>
      <x:c r="C140" s="14" t="str">
        <x:v>A0103</x:v>
      </x:c>
      <x:c r="D140" s="14" t="str">
        <x:v>Clothing and footwear</x:v>
      </x:c>
      <x:c r="E140" s="14" t="str">
        <x:v>PLI_EU27_2020</x:v>
      </x:c>
      <x:c r="F140" s="14" t="str">
        <x:v>A</x:v>
      </x:c>
      <x:c r="G140" s="18" t="n">
        <x:v>2024</x:v>
      </x:c>
      <x:c r="H140" s="19" t="n">
        <x:v>109.1</x:v>
      </x:c>
      <x:c r="I140" s="14" t="str"/>
    </x:row>
    <x:row r="141">
      <x:c r="A141" s="14" t="str">
        <x:v>LU</x:v>
      </x:c>
      <x:c r="B141" s="14" t="str">
        <x:v>Lúxemborg</x:v>
      </x:c>
      <x:c r="C141" s="14" t="str">
        <x:v>A010405</x:v>
      </x:c>
      <x:c r="D141" s="14" t="str">
        <x:v>Electricity, gas and other fuels</x:v>
      </x:c>
      <x:c r="E141" s="14" t="str">
        <x:v>PLI_EU27_2020</x:v>
      </x:c>
      <x:c r="F141" s="14" t="str">
        <x:v>A</x:v>
      </x:c>
      <x:c r="G141" s="18" t="n">
        <x:v>2024</x:v>
      </x:c>
      <x:c r="H141" s="19" t="n">
        <x:v>75.8</x:v>
      </x:c>
      <x:c r="I141" s="14" t="str"/>
    </x:row>
    <x:row r="142">
      <x:c r="A142" s="14" t="str">
        <x:v>LU</x:v>
      </x:c>
      <x:c r="B142" s="14" t="str">
        <x:v>Lúxemborg</x:v>
      </x:c>
      <x:c r="C142" s="14" t="str">
        <x:v>A010703</x:v>
      </x:c>
      <x:c r="D142" s="14" t="str">
        <x:v>Transport services</x:v>
      </x:c>
      <x:c r="E142" s="14" t="str">
        <x:v>PLI_EU27_2020</x:v>
      </x:c>
      <x:c r="F142" s="14" t="str">
        <x:v>A</x:v>
      </x:c>
      <x:c r="G142" s="18" t="n">
        <x:v>2024</x:v>
      </x:c>
      <x:c r="H142" s="19" t="n">
        <x:v>98.4</x:v>
      </x:c>
      <x:c r="I142" s="14" t="str"/>
    </x:row>
    <x:row r="143">
      <x:c r="A143" s="14" t="str">
        <x:v>LU</x:v>
      </x:c>
      <x:c r="B143" s="14" t="str">
        <x:v>Lúxemborg</x:v>
      </x:c>
      <x:c r="C143" s="14" t="str">
        <x:v>A0111</x:v>
      </x:c>
      <x:c r="D143" s="14" t="str">
        <x:v>Restaurants and hotels</x:v>
      </x:c>
      <x:c r="E143" s="14" t="str">
        <x:v>PLI_EU27_2020</x:v>
      </x:c>
      <x:c r="F143" s="14" t="str">
        <x:v>A</x:v>
      </x:c>
      <x:c r="G143" s="18" t="n">
        <x:v>2024</x:v>
      </x:c>
      <x:c r="H143" s="19" t="n">
        <x:v>123.6</x:v>
      </x:c>
      <x:c r="I143" s="14" t="str"/>
    </x:row>
    <x:row r="144">
      <x:c r="A144" s="14" t="str">
        <x:v>LU</x:v>
      </x:c>
      <x:c r="B144" s="14" t="str">
        <x:v>Lúxemborg</x:v>
      </x:c>
      <x:c r="C144" s="14" t="str">
        <x:v>E011</x:v>
      </x:c>
      <x:c r="D144" s="14" t="str">
        <x:v>Household final consumption expenditure</x:v>
      </x:c>
      <x:c r="E144" s="14" t="str">
        <x:v>PLI_EU27_2020</x:v>
      </x:c>
      <x:c r="F144" s="14" t="str">
        <x:v>A</x:v>
      </x:c>
      <x:c r="G144" s="18" t="n">
        <x:v>2024</x:v>
      </x:c>
      <x:c r="H144" s="19" t="n">
        <x:v>132.8</x:v>
      </x:c>
      <x:c r="I144" s="14" t="str"/>
    </x:row>
    <x:row r="145">
      <x:c r="A145" s="14" t="str">
        <x:v>LV</x:v>
      </x:c>
      <x:c r="B145" s="14" t="str">
        <x:v>Lettland</x:v>
      </x:c>
      <x:c r="C145" s="14" t="str">
        <x:v>A01</x:v>
      </x:c>
      <x:c r="D145" s="14" t="str">
        <x:v>Actual individual consumption</x:v>
      </x:c>
      <x:c r="E145" s="14" t="str">
        <x:v>PLI_EU27_2020</x:v>
      </x:c>
      <x:c r="F145" s="14" t="str">
        <x:v>A</x:v>
      </x:c>
      <x:c r="G145" s="18" t="n">
        <x:v>2024</x:v>
      </x:c>
      <x:c r="H145" s="19" t="n">
        <x:v>77.2</x:v>
      </x:c>
      <x:c r="I145" s="14" t="str"/>
    </x:row>
    <x:row r="146">
      <x:c r="A146" s="14" t="str">
        <x:v>LV</x:v>
      </x:c>
      <x:c r="B146" s="14" t="str">
        <x:v>Lettland</x:v>
      </x:c>
      <x:c r="C146" s="14" t="str">
        <x:v>A0101</x:v>
      </x:c>
      <x:c r="D146" s="14" t="str">
        <x:v>Food and non-alcoholic beverages</x:v>
      </x:c>
      <x:c r="E146" s="14" t="str">
        <x:v>PLI_EU27_2020</x:v>
      </x:c>
      <x:c r="F146" s="14" t="str">
        <x:v>A</x:v>
      </x:c>
      <x:c r="G146" s="18" t="n">
        <x:v>2024</x:v>
      </x:c>
      <x:c r="H146" s="19" t="n">
        <x:v>105.4</x:v>
      </x:c>
      <x:c r="I146" s="14" t="str"/>
    </x:row>
    <x:row r="147">
      <x:c r="A147" s="14" t="str">
        <x:v>LV</x:v>
      </x:c>
      <x:c r="B147" s="14" t="str">
        <x:v>Lettland</x:v>
      </x:c>
      <x:c r="C147" s="14" t="str">
        <x:v>A0103</x:v>
      </x:c>
      <x:c r="D147" s="14" t="str">
        <x:v>Clothing and footwear</x:v>
      </x:c>
      <x:c r="E147" s="14" t="str">
        <x:v>PLI_EU27_2020</x:v>
      </x:c>
      <x:c r="F147" s="14" t="str">
        <x:v>A</x:v>
      </x:c>
      <x:c r="G147" s="18" t="n">
        <x:v>2024</x:v>
      </x:c>
      <x:c r="H147" s="19" t="n">
        <x:v>102.2</x:v>
      </x:c>
      <x:c r="I147" s="14" t="str"/>
    </x:row>
    <x:row r="148">
      <x:c r="A148" s="14" t="str">
        <x:v>LV</x:v>
      </x:c>
      <x:c r="B148" s="14" t="str">
        <x:v>Lettland</x:v>
      </x:c>
      <x:c r="C148" s="14" t="str">
        <x:v>A010405</x:v>
      </x:c>
      <x:c r="D148" s="14" t="str">
        <x:v>Electricity, gas and other fuels</x:v>
      </x:c>
      <x:c r="E148" s="14" t="str">
        <x:v>PLI_EU27_2020</x:v>
      </x:c>
      <x:c r="F148" s="14" t="str">
        <x:v>A</x:v>
      </x:c>
      <x:c r="G148" s="18" t="n">
        <x:v>2024</x:v>
      </x:c>
      <x:c r="H148" s="19" t="n">
        <x:v>90.5</x:v>
      </x:c>
      <x:c r="I148" s="14" t="str"/>
    </x:row>
    <x:row r="149">
      <x:c r="A149" s="14" t="str">
        <x:v>LV</x:v>
      </x:c>
      <x:c r="B149" s="14" t="str">
        <x:v>Lettland</x:v>
      </x:c>
      <x:c r="C149" s="14" t="str">
        <x:v>A010703</x:v>
      </x:c>
      <x:c r="D149" s="14" t="str">
        <x:v>Transport services</x:v>
      </x:c>
      <x:c r="E149" s="14" t="str">
        <x:v>PLI_EU27_2020</x:v>
      </x:c>
      <x:c r="F149" s="14" t="str">
        <x:v>A</x:v>
      </x:c>
      <x:c r="G149" s="18" t="n">
        <x:v>2024</x:v>
      </x:c>
      <x:c r="H149" s="19" t="n">
        <x:v>71.5</x:v>
      </x:c>
      <x:c r="I149" s="14" t="str"/>
    </x:row>
    <x:row r="150">
      <x:c r="A150" s="14" t="str">
        <x:v>LV</x:v>
      </x:c>
      <x:c r="B150" s="14" t="str">
        <x:v>Lettland</x:v>
      </x:c>
      <x:c r="C150" s="14" t="str">
        <x:v>A0111</x:v>
      </x:c>
      <x:c r="D150" s="14" t="str">
        <x:v>Restaurants and hotels</x:v>
      </x:c>
      <x:c r="E150" s="14" t="str">
        <x:v>PLI_EU27_2020</x:v>
      </x:c>
      <x:c r="F150" s="14" t="str">
        <x:v>A</x:v>
      </x:c>
      <x:c r="G150" s="18" t="n">
        <x:v>2024</x:v>
      </x:c>
      <x:c r="H150" s="19" t="n">
        <x:v>90.9</x:v>
      </x:c>
      <x:c r="I150" s="14" t="str"/>
    </x:row>
    <x:row r="151">
      <x:c r="A151" s="14" t="str">
        <x:v>LV</x:v>
      </x:c>
      <x:c r="B151" s="14" t="str">
        <x:v>Lettland</x:v>
      </x:c>
      <x:c r="C151" s="14" t="str">
        <x:v>E011</x:v>
      </x:c>
      <x:c r="D151" s="14" t="str">
        <x:v>Household final consumption expenditure</x:v>
      </x:c>
      <x:c r="E151" s="14" t="str">
        <x:v>PLI_EU27_2020</x:v>
      </x:c>
      <x:c r="F151" s="14" t="str">
        <x:v>A</x:v>
      </x:c>
      <x:c r="G151" s="18" t="n">
        <x:v>2024</x:v>
      </x:c>
      <x:c r="H151" s="19" t="n">
        <x:v>81.8</x:v>
      </x:c>
      <x:c r="I151" s="14" t="str"/>
    </x:row>
    <x:row r="152">
      <x:c r="A152" s="14" t="str">
        <x:v>MT</x:v>
      </x:c>
      <x:c r="B152" s="14" t="str">
        <x:v>Malta</x:v>
      </x:c>
      <x:c r="C152" s="14" t="str">
        <x:v>A01</x:v>
      </x:c>
      <x:c r="D152" s="14" t="str">
        <x:v>Actual individual consumption</x:v>
      </x:c>
      <x:c r="E152" s="14" t="str">
        <x:v>PLI_EU27_2020</x:v>
      </x:c>
      <x:c r="F152" s="14" t="str">
        <x:v>A</x:v>
      </x:c>
      <x:c r="G152" s="18" t="n">
        <x:v>2024</x:v>
      </x:c>
      <x:c r="H152" s="19" t="n">
        <x:v>93.1</x:v>
      </x:c>
      <x:c r="I152" s="14" t="str"/>
    </x:row>
    <x:row r="153">
      <x:c r="A153" s="14" t="str">
        <x:v>MT</x:v>
      </x:c>
      <x:c r="B153" s="14" t="str">
        <x:v>Malta</x:v>
      </x:c>
      <x:c r="C153" s="14" t="str">
        <x:v>A0101</x:v>
      </x:c>
      <x:c r="D153" s="14" t="str">
        <x:v>Food and non-alcoholic beverages</x:v>
      </x:c>
      <x:c r="E153" s="14" t="str">
        <x:v>PLI_EU27_2020</x:v>
      </x:c>
      <x:c r="F153" s="14" t="str">
        <x:v>A</x:v>
      </x:c>
      <x:c r="G153" s="18" t="n">
        <x:v>2024</x:v>
      </x:c>
      <x:c r="H153" s="19" t="n">
        <x:v>112.2</x:v>
      </x:c>
      <x:c r="I153" s="14" t="str"/>
    </x:row>
    <x:row r="154">
      <x:c r="A154" s="14" t="str">
        <x:v>MT</x:v>
      </x:c>
      <x:c r="B154" s="14" t="str">
        <x:v>Malta</x:v>
      </x:c>
      <x:c r="C154" s="14" t="str">
        <x:v>A0103</x:v>
      </x:c>
      <x:c r="D154" s="14" t="str">
        <x:v>Clothing and footwear</x:v>
      </x:c>
      <x:c r="E154" s="14" t="str">
        <x:v>PLI_EU27_2020</x:v>
      </x:c>
      <x:c r="F154" s="14" t="str">
        <x:v>A</x:v>
      </x:c>
      <x:c r="G154" s="18" t="n">
        <x:v>2024</x:v>
      </x:c>
      <x:c r="H154" s="19" t="n">
        <x:v>101.5</x:v>
      </x:c>
      <x:c r="I154" s="14" t="str"/>
    </x:row>
    <x:row r="155">
      <x:c r="A155" s="14" t="str">
        <x:v>MT</x:v>
      </x:c>
      <x:c r="B155" s="14" t="str">
        <x:v>Malta</x:v>
      </x:c>
      <x:c r="C155" s="14" t="str">
        <x:v>A010405</x:v>
      </x:c>
      <x:c r="D155" s="14" t="str">
        <x:v>Electricity, gas and other fuels</x:v>
      </x:c>
      <x:c r="E155" s="14" t="str">
        <x:v>PLI_EU27_2020</x:v>
      </x:c>
      <x:c r="F155" s="14" t="str">
        <x:v>A</x:v>
      </x:c>
      <x:c r="G155" s="18" t="n">
        <x:v>2024</x:v>
      </x:c>
      <x:c r="H155" s="19" t="n">
        <x:v>60.1</x:v>
      </x:c>
      <x:c r="I155" s="14" t="str"/>
    </x:row>
    <x:row r="156">
      <x:c r="A156" s="14" t="str">
        <x:v>MT</x:v>
      </x:c>
      <x:c r="B156" s="14" t="str">
        <x:v>Malta</x:v>
      </x:c>
      <x:c r="C156" s="14" t="str">
        <x:v>A010703</x:v>
      </x:c>
      <x:c r="D156" s="14" t="str">
        <x:v>Transport services</x:v>
      </x:c>
      <x:c r="E156" s="14" t="str">
        <x:v>PLI_EU27_2020</x:v>
      </x:c>
      <x:c r="F156" s="14" t="str">
        <x:v>A</x:v>
      </x:c>
      <x:c r="G156" s="18" t="n">
        <x:v>2024</x:v>
      </x:c>
      <x:c r="H156" s="19" t="n">
        <x:v>89.8</x:v>
      </x:c>
      <x:c r="I156" s="14" t="str"/>
    </x:row>
    <x:row r="157">
      <x:c r="A157" s="14" t="str">
        <x:v>MT</x:v>
      </x:c>
      <x:c r="B157" s="14" t="str">
        <x:v>Malta</x:v>
      </x:c>
      <x:c r="C157" s="14" t="str">
        <x:v>A0111</x:v>
      </x:c>
      <x:c r="D157" s="14" t="str">
        <x:v>Restaurants and hotels</x:v>
      </x:c>
      <x:c r="E157" s="14" t="str">
        <x:v>PLI_EU27_2020</x:v>
      </x:c>
      <x:c r="F157" s="14" t="str">
        <x:v>A</x:v>
      </x:c>
      <x:c r="G157" s="18" t="n">
        <x:v>2024</x:v>
      </x:c>
      <x:c r="H157" s="19" t="n">
        <x:v>88.7</x:v>
      </x:c>
      <x:c r="I157" s="14" t="str"/>
    </x:row>
    <x:row r="158">
      <x:c r="A158" s="14" t="str">
        <x:v>MT</x:v>
      </x:c>
      <x:c r="B158" s="14" t="str">
        <x:v>Malta</x:v>
      </x:c>
      <x:c r="C158" s="14" t="str">
        <x:v>E011</x:v>
      </x:c>
      <x:c r="D158" s="14" t="str">
        <x:v>Household final consumption expenditure</x:v>
      </x:c>
      <x:c r="E158" s="14" t="str">
        <x:v>PLI_EU27_2020</x:v>
      </x:c>
      <x:c r="F158" s="14" t="str">
        <x:v>A</x:v>
      </x:c>
      <x:c r="G158" s="18" t="n">
        <x:v>2024</x:v>
      </x:c>
      <x:c r="H158" s="19" t="n">
        <x:v>91.6</x:v>
      </x:c>
      <x:c r="I158" s="14" t="str"/>
    </x:row>
    <x:row r="159">
      <x:c r="A159" s="14" t="str">
        <x:v>NL</x:v>
      </x:c>
      <x:c r="B159" s="14" t="str">
        <x:v>Holland</x:v>
      </x:c>
      <x:c r="C159" s="14" t="str">
        <x:v>A01</x:v>
      </x:c>
      <x:c r="D159" s="14" t="str">
        <x:v>Actual individual consumption</x:v>
      </x:c>
      <x:c r="E159" s="14" t="str">
        <x:v>PLI_EU27_2020</x:v>
      </x:c>
      <x:c r="F159" s="14" t="str">
        <x:v>A</x:v>
      </x:c>
      <x:c r="G159" s="18" t="n">
        <x:v>2024</x:v>
      </x:c>
      <x:c r="H159" s="19" t="n">
        <x:v>121</x:v>
      </x:c>
      <x:c r="I159" s="14" t="str"/>
    </x:row>
    <x:row r="160">
      <x:c r="A160" s="14" t="str">
        <x:v>NL</x:v>
      </x:c>
      <x:c r="B160" s="14" t="str">
        <x:v>Holland</x:v>
      </x:c>
      <x:c r="C160" s="14" t="str">
        <x:v>A0101</x:v>
      </x:c>
      <x:c r="D160" s="14" t="str">
        <x:v>Food and non-alcoholic beverages</x:v>
      </x:c>
      <x:c r="E160" s="14" t="str">
        <x:v>PLI_EU27_2020</x:v>
      </x:c>
      <x:c r="F160" s="14" t="str">
        <x:v>A</x:v>
      </x:c>
      <x:c r="G160" s="18" t="n">
        <x:v>2024</x:v>
      </x:c>
      <x:c r="H160" s="19" t="n">
        <x:v>98.9</x:v>
      </x:c>
      <x:c r="I160" s="14" t="str"/>
    </x:row>
    <x:row r="161">
      <x:c r="A161" s="14" t="str">
        <x:v>NL</x:v>
      </x:c>
      <x:c r="B161" s="14" t="str">
        <x:v>Holland</x:v>
      </x:c>
      <x:c r="C161" s="14" t="str">
        <x:v>A0103</x:v>
      </x:c>
      <x:c r="D161" s="14" t="str">
        <x:v>Clothing and footwear</x:v>
      </x:c>
      <x:c r="E161" s="14" t="str">
        <x:v>PLI_EU27_2020</x:v>
      </x:c>
      <x:c r="F161" s="14" t="str">
        <x:v>A</x:v>
      </x:c>
      <x:c r="G161" s="18" t="n">
        <x:v>2024</x:v>
      </x:c>
      <x:c r="H161" s="19" t="n">
        <x:v>93</x:v>
      </x:c>
      <x:c r="I161" s="14" t="str"/>
    </x:row>
    <x:row r="162">
      <x:c r="A162" s="14" t="str">
        <x:v>NL</x:v>
      </x:c>
      <x:c r="B162" s="14" t="str">
        <x:v>Holland</x:v>
      </x:c>
      <x:c r="C162" s="14" t="str">
        <x:v>A010405</x:v>
      </x:c>
      <x:c r="D162" s="14" t="str">
        <x:v>Electricity, gas and other fuels</x:v>
      </x:c>
      <x:c r="E162" s="14" t="str">
        <x:v>PLI_EU27_2020</x:v>
      </x:c>
      <x:c r="F162" s="14" t="str">
        <x:v>A</x:v>
      </x:c>
      <x:c r="G162" s="18" t="n">
        <x:v>2024</x:v>
      </x:c>
      <x:c r="H162" s="19" t="n">
        <x:v>110.5</x:v>
      </x:c>
      <x:c r="I162" s="14" t="str"/>
    </x:row>
    <x:row r="163">
      <x:c r="A163" s="14" t="str">
        <x:v>NL</x:v>
      </x:c>
      <x:c r="B163" s="14" t="str">
        <x:v>Holland</x:v>
      </x:c>
      <x:c r="C163" s="14" t="str">
        <x:v>A010703</x:v>
      </x:c>
      <x:c r="D163" s="14" t="str">
        <x:v>Transport services</x:v>
      </x:c>
      <x:c r="E163" s="14" t="str">
        <x:v>PLI_EU27_2020</x:v>
      </x:c>
      <x:c r="F163" s="14" t="str">
        <x:v>A</x:v>
      </x:c>
      <x:c r="G163" s="18" t="n">
        <x:v>2024</x:v>
      </x:c>
      <x:c r="H163" s="19" t="n">
        <x:v>118.4</x:v>
      </x:c>
      <x:c r="I163" s="14" t="str"/>
    </x:row>
    <x:row r="164">
      <x:c r="A164" s="14" t="str">
        <x:v>NL</x:v>
      </x:c>
      <x:c r="B164" s="14" t="str">
        <x:v>Holland</x:v>
      </x:c>
      <x:c r="C164" s="14" t="str">
        <x:v>A0111</x:v>
      </x:c>
      <x:c r="D164" s="14" t="str">
        <x:v>Restaurants and hotels</x:v>
      </x:c>
      <x:c r="E164" s="14" t="str">
        <x:v>PLI_EU27_2020</x:v>
      </x:c>
      <x:c r="F164" s="14" t="str">
        <x:v>A</x:v>
      </x:c>
      <x:c r="G164" s="18" t="n">
        <x:v>2024</x:v>
      </x:c>
      <x:c r="H164" s="19" t="n">
        <x:v>124.6</x:v>
      </x:c>
      <x:c r="I164" s="14" t="str"/>
    </x:row>
    <x:row r="165">
      <x:c r="A165" s="14" t="str">
        <x:v>NL</x:v>
      </x:c>
      <x:c r="B165" s="14" t="str">
        <x:v>Holland</x:v>
      </x:c>
      <x:c r="C165" s="14" t="str">
        <x:v>E011</x:v>
      </x:c>
      <x:c r="D165" s="14" t="str">
        <x:v>Household final consumption expenditure</x:v>
      </x:c>
      <x:c r="E165" s="14" t="str">
        <x:v>PLI_EU27_2020</x:v>
      </x:c>
      <x:c r="F165" s="14" t="str">
        <x:v>A</x:v>
      </x:c>
      <x:c r="G165" s="18" t="n">
        <x:v>2024</x:v>
      </x:c>
      <x:c r="H165" s="19" t="n">
        <x:v>116</x:v>
      </x:c>
      <x:c r="I165" s="14" t="str"/>
    </x:row>
    <x:row r="166">
      <x:c r="A166" s="14" t="str">
        <x:v>NO</x:v>
      </x:c>
      <x:c r="B166" s="14" t="str">
        <x:v>Noregur</x:v>
      </x:c>
      <x:c r="C166" s="14" t="str">
        <x:v>A01</x:v>
      </x:c>
      <x:c r="D166" s="14" t="str">
        <x:v>Actual individual consumption</x:v>
      </x:c>
      <x:c r="E166" s="14" t="str">
        <x:v>PLI_EU27_2020</x:v>
      </x:c>
      <x:c r="F166" s="14" t="str">
        <x:v>A</x:v>
      </x:c>
      <x:c r="G166" s="18" t="n">
        <x:v>2024</x:v>
      </x:c>
      <x:c r="H166" s="19" t="n">
        <x:v>134.1</x:v>
      </x:c>
      <x:c r="I166" s="14" t="str"/>
    </x:row>
    <x:row r="167">
      <x:c r="A167" s="14" t="str">
        <x:v>NO</x:v>
      </x:c>
      <x:c r="B167" s="14" t="str">
        <x:v>Noregur</x:v>
      </x:c>
      <x:c r="C167" s="14" t="str">
        <x:v>A0101</x:v>
      </x:c>
      <x:c r="D167" s="14" t="str">
        <x:v>Food and non-alcoholic beverages</x:v>
      </x:c>
      <x:c r="E167" s="14" t="str">
        <x:v>PLI_EU27_2020</x:v>
      </x:c>
      <x:c r="F167" s="14" t="str">
        <x:v>A</x:v>
      </x:c>
      <x:c r="G167" s="18" t="n">
        <x:v>2024</x:v>
      </x:c>
      <x:c r="H167" s="19" t="n">
        <x:v>131.2</x:v>
      </x:c>
      <x:c r="I167" s="14" t="str"/>
    </x:row>
    <x:row r="168">
      <x:c r="A168" s="14" t="str">
        <x:v>NO</x:v>
      </x:c>
      <x:c r="B168" s="14" t="str">
        <x:v>Noregur</x:v>
      </x:c>
      <x:c r="C168" s="14" t="str">
        <x:v>A0103</x:v>
      </x:c>
      <x:c r="D168" s="14" t="str">
        <x:v>Clothing and footwear</x:v>
      </x:c>
      <x:c r="E168" s="14" t="str">
        <x:v>PLI_EU27_2020</x:v>
      </x:c>
      <x:c r="F168" s="14" t="str">
        <x:v>A</x:v>
      </x:c>
      <x:c r="G168" s="18" t="n">
        <x:v>2024</x:v>
      </x:c>
      <x:c r="H168" s="19" t="n">
        <x:v>117.6</x:v>
      </x:c>
      <x:c r="I168" s="14" t="str"/>
    </x:row>
    <x:row r="169">
      <x:c r="A169" s="14" t="str">
        <x:v>NO</x:v>
      </x:c>
      <x:c r="B169" s="14" t="str">
        <x:v>Noregur</x:v>
      </x:c>
      <x:c r="C169" s="14" t="str">
        <x:v>A010405</x:v>
      </x:c>
      <x:c r="D169" s="14" t="str">
        <x:v>Electricity, gas and other fuels</x:v>
      </x:c>
      <x:c r="E169" s="14" t="str">
        <x:v>PLI_EU27_2020</x:v>
      </x:c>
      <x:c r="F169" s="14" t="str">
        <x:v>A</x:v>
      </x:c>
      <x:c r="G169" s="18" t="n">
        <x:v>2024</x:v>
      </x:c>
      <x:c r="H169" s="19" t="n">
        <x:v>54.4</x:v>
      </x:c>
      <x:c r="I169" s="14" t="str"/>
    </x:row>
    <x:row r="170">
      <x:c r="A170" s="14" t="str">
        <x:v>NO</x:v>
      </x:c>
      <x:c r="B170" s="14" t="str">
        <x:v>Noregur</x:v>
      </x:c>
      <x:c r="C170" s="14" t="str">
        <x:v>A010703</x:v>
      </x:c>
      <x:c r="D170" s="14" t="str">
        <x:v>Transport services</x:v>
      </x:c>
      <x:c r="E170" s="14" t="str">
        <x:v>PLI_EU27_2020</x:v>
      </x:c>
      <x:c r="F170" s="14" t="str">
        <x:v>A</x:v>
      </x:c>
      <x:c r="G170" s="18" t="n">
        <x:v>2024</x:v>
      </x:c>
      <x:c r="H170" s="19" t="n">
        <x:v>161.6</x:v>
      </x:c>
      <x:c r="I170" s="14" t="str"/>
    </x:row>
    <x:row r="171">
      <x:c r="A171" s="14" t="str">
        <x:v>NO</x:v>
      </x:c>
      <x:c r="B171" s="14" t="str">
        <x:v>Noregur</x:v>
      </x:c>
      <x:c r="C171" s="14" t="str">
        <x:v>A0111</x:v>
      </x:c>
      <x:c r="D171" s="14" t="str">
        <x:v>Restaurants and hotels</x:v>
      </x:c>
      <x:c r="E171" s="14" t="str">
        <x:v>PLI_EU27_2020</x:v>
      </x:c>
      <x:c r="F171" s="14" t="str">
        <x:v>A</x:v>
      </x:c>
      <x:c r="G171" s="18" t="n">
        <x:v>2024</x:v>
      </x:c>
      <x:c r="H171" s="19" t="n">
        <x:v>140</x:v>
      </x:c>
      <x:c r="I171" s="14" t="str"/>
    </x:row>
    <x:row r="172">
      <x:c r="A172" s="14" t="str">
        <x:v>NO</x:v>
      </x:c>
      <x:c r="B172" s="14" t="str">
        <x:v>Noregur</x:v>
      </x:c>
      <x:c r="C172" s="14" t="str">
        <x:v>E011</x:v>
      </x:c>
      <x:c r="D172" s="14" t="str">
        <x:v>Household final consumption expenditure</x:v>
      </x:c>
      <x:c r="E172" s="14" t="str">
        <x:v>PLI_EU27_2020</x:v>
      </x:c>
      <x:c r="F172" s="14" t="str">
        <x:v>A</x:v>
      </x:c>
      <x:c r="G172" s="18" t="n">
        <x:v>2024</x:v>
      </x:c>
      <x:c r="H172" s="19" t="n">
        <x:v>124</x:v>
      </x:c>
      <x:c r="I172" s="14" t="str"/>
    </x:row>
    <x:row r="173">
      <x:c r="A173" s="14" t="str">
        <x:v>PL</x:v>
      </x:c>
      <x:c r="B173" s="14" t="str">
        <x:v>Pólland</x:v>
      </x:c>
      <x:c r="C173" s="14" t="str">
        <x:v>A01</x:v>
      </x:c>
      <x:c r="D173" s="14" t="str">
        <x:v>Actual individual consumption</x:v>
      </x:c>
      <x:c r="E173" s="14" t="str">
        <x:v>PLI_EU27_2020</x:v>
      </x:c>
      <x:c r="F173" s="14" t="str">
        <x:v>A</x:v>
      </x:c>
      <x:c r="G173" s="18" t="n">
        <x:v>2024</x:v>
      </x:c>
      <x:c r="H173" s="19" t="n">
        <x:v>70.2</x:v>
      </x:c>
      <x:c r="I173" s="14" t="str"/>
    </x:row>
    <x:row r="174">
      <x:c r="A174" s="14" t="str">
        <x:v>PL</x:v>
      </x:c>
      <x:c r="B174" s="14" t="str">
        <x:v>Pólland</x:v>
      </x:c>
      <x:c r="C174" s="14" t="str">
        <x:v>A0101</x:v>
      </x:c>
      <x:c r="D174" s="14" t="str">
        <x:v>Food and non-alcoholic beverages</x:v>
      </x:c>
      <x:c r="E174" s="14" t="str">
        <x:v>PLI_EU27_2020</x:v>
      </x:c>
      <x:c r="F174" s="14" t="str">
        <x:v>A</x:v>
      </x:c>
      <x:c r="G174" s="18" t="n">
        <x:v>2024</x:v>
      </x:c>
      <x:c r="H174" s="19" t="n">
        <x:v>86.8</x:v>
      </x:c>
      <x:c r="I174" s="14" t="str"/>
    </x:row>
    <x:row r="175">
      <x:c r="A175" s="14" t="str">
        <x:v>PL</x:v>
      </x:c>
      <x:c r="B175" s="14" t="str">
        <x:v>Pólland</x:v>
      </x:c>
      <x:c r="C175" s="14" t="str">
        <x:v>A0103</x:v>
      </x:c>
      <x:c r="D175" s="14" t="str">
        <x:v>Clothing and footwear</x:v>
      </x:c>
      <x:c r="E175" s="14" t="str">
        <x:v>PLI_EU27_2020</x:v>
      </x:c>
      <x:c r="F175" s="14" t="str">
        <x:v>A</x:v>
      </x:c>
      <x:c r="G175" s="18" t="n">
        <x:v>2024</x:v>
      </x:c>
      <x:c r="H175" s="19" t="n">
        <x:v>103.1</x:v>
      </x:c>
      <x:c r="I175" s="14" t="str"/>
    </x:row>
    <x:row r="176">
      <x:c r="A176" s="14" t="str">
        <x:v>PL</x:v>
      </x:c>
      <x:c r="B176" s="14" t="str">
        <x:v>Pólland</x:v>
      </x:c>
      <x:c r="C176" s="14" t="str">
        <x:v>A010405</x:v>
      </x:c>
      <x:c r="D176" s="14" t="str">
        <x:v>Electricity, gas and other fuels</x:v>
      </x:c>
      <x:c r="E176" s="14" t="str">
        <x:v>PLI_EU27_2020</x:v>
      </x:c>
      <x:c r="F176" s="14" t="str">
        <x:v>A</x:v>
      </x:c>
      <x:c r="G176" s="18" t="n">
        <x:v>2024</x:v>
      </x:c>
      <x:c r="H176" s="19" t="n">
        <x:v>83.8</x:v>
      </x:c>
      <x:c r="I176" s="14" t="str"/>
    </x:row>
    <x:row r="177">
      <x:c r="A177" s="14" t="str">
        <x:v>PL</x:v>
      </x:c>
      <x:c r="B177" s="14" t="str">
        <x:v>Pólland</x:v>
      </x:c>
      <x:c r="C177" s="14" t="str">
        <x:v>A010703</x:v>
      </x:c>
      <x:c r="D177" s="14" t="str">
        <x:v>Transport services</x:v>
      </x:c>
      <x:c r="E177" s="14" t="str">
        <x:v>PLI_EU27_2020</x:v>
      </x:c>
      <x:c r="F177" s="14" t="str">
        <x:v>A</x:v>
      </x:c>
      <x:c r="G177" s="18" t="n">
        <x:v>2024</x:v>
      </x:c>
      <x:c r="H177" s="19" t="n">
        <x:v>68.7</x:v>
      </x:c>
      <x:c r="I177" s="14" t="str"/>
    </x:row>
    <x:row r="178">
      <x:c r="A178" s="14" t="str">
        <x:v>PL</x:v>
      </x:c>
      <x:c r="B178" s="14" t="str">
        <x:v>Pólland</x:v>
      </x:c>
      <x:c r="C178" s="14" t="str">
        <x:v>A0111</x:v>
      </x:c>
      <x:c r="D178" s="14" t="str">
        <x:v>Restaurants and hotels</x:v>
      </x:c>
      <x:c r="E178" s="14" t="str">
        <x:v>PLI_EU27_2020</x:v>
      </x:c>
      <x:c r="F178" s="14" t="str">
        <x:v>A</x:v>
      </x:c>
      <x:c r="G178" s="18" t="n">
        <x:v>2024</x:v>
      </x:c>
      <x:c r="H178" s="19" t="n">
        <x:v>91.7</x:v>
      </x:c>
      <x:c r="I178" s="14" t="str"/>
    </x:row>
    <x:row r="179">
      <x:c r="A179" s="14" t="str">
        <x:v>PL</x:v>
      </x:c>
      <x:c r="B179" s="14" t="str">
        <x:v>Pólland</x:v>
      </x:c>
      <x:c r="C179" s="14" t="str">
        <x:v>E011</x:v>
      </x:c>
      <x:c r="D179" s="14" t="str">
        <x:v>Household final consumption expenditure</x:v>
      </x:c>
      <x:c r="E179" s="14" t="str">
        <x:v>PLI_EU27_2020</x:v>
      </x:c>
      <x:c r="F179" s="14" t="str">
        <x:v>A</x:v>
      </x:c>
      <x:c r="G179" s="18" t="n">
        <x:v>2024</x:v>
      </x:c>
      <x:c r="H179" s="19" t="n">
        <x:v>72.2</x:v>
      </x:c>
      <x:c r="I179" s="14" t="str"/>
    </x:row>
    <x:row r="180">
      <x:c r="A180" s="14" t="str">
        <x:v>PT</x:v>
      </x:c>
      <x:c r="B180" s="14" t="str">
        <x:v>Portúgal</x:v>
      </x:c>
      <x:c r="C180" s="14" t="str">
        <x:v>A01</x:v>
      </x:c>
      <x:c r="D180" s="14" t="str">
        <x:v>Actual individual consumption</x:v>
      </x:c>
      <x:c r="E180" s="14" t="str">
        <x:v>PLI_EU27_2020</x:v>
      </x:c>
      <x:c r="F180" s="14" t="str">
        <x:v>A</x:v>
      </x:c>
      <x:c r="G180" s="18" t="n">
        <x:v>2024</x:v>
      </x:c>
      <x:c r="H180" s="19" t="n">
        <x:v>85</x:v>
      </x:c>
      <x:c r="I180" s="14" t="str"/>
    </x:row>
    <x:row r="181">
      <x:c r="A181" s="14" t="str">
        <x:v>PT</x:v>
      </x:c>
      <x:c r="B181" s="14" t="str">
        <x:v>Portúgal</x:v>
      </x:c>
      <x:c r="C181" s="14" t="str">
        <x:v>A0101</x:v>
      </x:c>
      <x:c r="D181" s="14" t="str">
        <x:v>Food and non-alcoholic beverages</x:v>
      </x:c>
      <x:c r="E181" s="14" t="str">
        <x:v>PLI_EU27_2020</x:v>
      </x:c>
      <x:c r="F181" s="14" t="str">
        <x:v>A</x:v>
      </x:c>
      <x:c r="G181" s="18" t="n">
        <x:v>2024</x:v>
      </x:c>
      <x:c r="H181" s="19" t="n">
        <x:v>101.5</x:v>
      </x:c>
      <x:c r="I181" s="14" t="str"/>
    </x:row>
    <x:row r="182">
      <x:c r="A182" s="14" t="str">
        <x:v>PT</x:v>
      </x:c>
      <x:c r="B182" s="14" t="str">
        <x:v>Portúgal</x:v>
      </x:c>
      <x:c r="C182" s="14" t="str">
        <x:v>A0103</x:v>
      </x:c>
      <x:c r="D182" s="14" t="str">
        <x:v>Clothing and footwear</x:v>
      </x:c>
      <x:c r="E182" s="14" t="str">
        <x:v>PLI_EU27_2020</x:v>
      </x:c>
      <x:c r="F182" s="14" t="str">
        <x:v>A</x:v>
      </x:c>
      <x:c r="G182" s="18" t="n">
        <x:v>2024</x:v>
      </x:c>
      <x:c r="H182" s="19" t="n">
        <x:v>93.5</x:v>
      </x:c>
      <x:c r="I182" s="14" t="str"/>
    </x:row>
    <x:row r="183">
      <x:c r="A183" s="14" t="str">
        <x:v>PT</x:v>
      </x:c>
      <x:c r="B183" s="14" t="str">
        <x:v>Portúgal</x:v>
      </x:c>
      <x:c r="C183" s="14" t="str">
        <x:v>A010405</x:v>
      </x:c>
      <x:c r="D183" s="14" t="str">
        <x:v>Electricity, gas and other fuels</x:v>
      </x:c>
      <x:c r="E183" s="14" t="str">
        <x:v>PLI_EU27_2020</x:v>
      </x:c>
      <x:c r="F183" s="14" t="str">
        <x:v>A</x:v>
      </x:c>
      <x:c r="G183" s="18" t="n">
        <x:v>2024</x:v>
      </x:c>
      <x:c r="H183" s="19" t="n">
        <x:v>102.8</x:v>
      </x:c>
      <x:c r="I183" s="14" t="str"/>
    </x:row>
    <x:row r="184">
      <x:c r="A184" s="14" t="str">
        <x:v>PT</x:v>
      </x:c>
      <x:c r="B184" s="14" t="str">
        <x:v>Portúgal</x:v>
      </x:c>
      <x:c r="C184" s="14" t="str">
        <x:v>A010703</x:v>
      </x:c>
      <x:c r="D184" s="14" t="str">
        <x:v>Transport services</x:v>
      </x:c>
      <x:c r="E184" s="14" t="str">
        <x:v>PLI_EU27_2020</x:v>
      </x:c>
      <x:c r="F184" s="14" t="str">
        <x:v>A</x:v>
      </x:c>
      <x:c r="G184" s="18" t="n">
        <x:v>2024</x:v>
      </x:c>
      <x:c r="H184" s="19" t="n">
        <x:v>80.6</x:v>
      </x:c>
      <x:c r="I184" s="14" t="str"/>
    </x:row>
    <x:row r="185">
      <x:c r="A185" s="14" t="str">
        <x:v>PT</x:v>
      </x:c>
      <x:c r="B185" s="14" t="str">
        <x:v>Portúgal</x:v>
      </x:c>
      <x:c r="C185" s="14" t="str">
        <x:v>A0111</x:v>
      </x:c>
      <x:c r="D185" s="14" t="str">
        <x:v>Restaurants and hotels</x:v>
      </x:c>
      <x:c r="E185" s="14" t="str">
        <x:v>PLI_EU27_2020</x:v>
      </x:c>
      <x:c r="F185" s="14" t="str">
        <x:v>A</x:v>
      </x:c>
      <x:c r="G185" s="18" t="n">
        <x:v>2024</x:v>
      </x:c>
      <x:c r="H185" s="19" t="n">
        <x:v>75.5</x:v>
      </x:c>
      <x:c r="I185" s="14" t="str"/>
    </x:row>
    <x:row r="186">
      <x:c r="A186" s="14" t="str">
        <x:v>PT</x:v>
      </x:c>
      <x:c r="B186" s="14" t="str">
        <x:v>Portúgal</x:v>
      </x:c>
      <x:c r="C186" s="14" t="str">
        <x:v>E011</x:v>
      </x:c>
      <x:c r="D186" s="14" t="str">
        <x:v>Household final consumption expenditure</x:v>
      </x:c>
      <x:c r="E186" s="14" t="str">
        <x:v>PLI_EU27_2020</x:v>
      </x:c>
      <x:c r="F186" s="14" t="str">
        <x:v>A</x:v>
      </x:c>
      <x:c r="G186" s="18" t="n">
        <x:v>2024</x:v>
      </x:c>
      <x:c r="H186" s="19" t="n">
        <x:v>87</x:v>
      </x:c>
      <x:c r="I186" s="14" t="str"/>
    </x:row>
    <x:row r="187">
      <x:c r="A187" s="14" t="str">
        <x:v>RO</x:v>
      </x:c>
      <x:c r="B187" s="14" t="str">
        <x:v>Rúmenía</x:v>
      </x:c>
      <x:c r="C187" s="14" t="str">
        <x:v>A01</x:v>
      </x:c>
      <x:c r="D187" s="14" t="str">
        <x:v>Actual individual consumption</x:v>
      </x:c>
      <x:c r="E187" s="14" t="str">
        <x:v>PLI_EU27_2020</x:v>
      </x:c>
      <x:c r="F187" s="14" t="str">
        <x:v>A</x:v>
      </x:c>
      <x:c r="G187" s="18" t="n">
        <x:v>2024</x:v>
      </x:c>
      <x:c r="H187" s="19" t="n">
        <x:v>57.4</x:v>
      </x:c>
      <x:c r="I187" s="14" t="str"/>
    </x:row>
    <x:row r="188">
      <x:c r="A188" s="14" t="str">
        <x:v>RO</x:v>
      </x:c>
      <x:c r="B188" s="14" t="str">
        <x:v>Rúmenía</x:v>
      </x:c>
      <x:c r="C188" s="14" t="str">
        <x:v>A0101</x:v>
      </x:c>
      <x:c r="D188" s="14" t="str">
        <x:v>Food and non-alcoholic beverages</x:v>
      </x:c>
      <x:c r="E188" s="14" t="str">
        <x:v>PLI_EU27_2020</x:v>
      </x:c>
      <x:c r="F188" s="14" t="str">
        <x:v>A</x:v>
      </x:c>
      <x:c r="G188" s="18" t="n">
        <x:v>2024</x:v>
      </x:c>
      <x:c r="H188" s="19" t="n">
        <x:v>75.5</x:v>
      </x:c>
      <x:c r="I188" s="14" t="str"/>
    </x:row>
    <x:row r="189">
      <x:c r="A189" s="14" t="str">
        <x:v>RO</x:v>
      </x:c>
      <x:c r="B189" s="14" t="str">
        <x:v>Rúmenía</x:v>
      </x:c>
      <x:c r="C189" s="14" t="str">
        <x:v>A0103</x:v>
      </x:c>
      <x:c r="D189" s="14" t="str">
        <x:v>Clothing and footwear</x:v>
      </x:c>
      <x:c r="E189" s="14" t="str">
        <x:v>PLI_EU27_2020</x:v>
      </x:c>
      <x:c r="F189" s="14" t="str">
        <x:v>A</x:v>
      </x:c>
      <x:c r="G189" s="18" t="n">
        <x:v>2024</x:v>
      </x:c>
      <x:c r="H189" s="19" t="n">
        <x:v>87.4</x:v>
      </x:c>
      <x:c r="I189" s="14" t="str"/>
    </x:row>
    <x:row r="190">
      <x:c r="A190" s="14" t="str">
        <x:v>RO</x:v>
      </x:c>
      <x:c r="B190" s="14" t="str">
        <x:v>Rúmenía</x:v>
      </x:c>
      <x:c r="C190" s="14" t="str">
        <x:v>A010405</x:v>
      </x:c>
      <x:c r="D190" s="14" t="str">
        <x:v>Electricity, gas and other fuels</x:v>
      </x:c>
      <x:c r="E190" s="14" t="str">
        <x:v>PLI_EU27_2020</x:v>
      </x:c>
      <x:c r="F190" s="14" t="str">
        <x:v>A</x:v>
      </x:c>
      <x:c r="G190" s="18" t="n">
        <x:v>2024</x:v>
      </x:c>
      <x:c r="H190" s="19" t="n">
        <x:v>61.5</x:v>
      </x:c>
      <x:c r="I190" s="14" t="str"/>
    </x:row>
    <x:row r="191">
      <x:c r="A191" s="14" t="str">
        <x:v>RO</x:v>
      </x:c>
      <x:c r="B191" s="14" t="str">
        <x:v>Rúmenía</x:v>
      </x:c>
      <x:c r="C191" s="14" t="str">
        <x:v>A010703</x:v>
      </x:c>
      <x:c r="D191" s="14" t="str">
        <x:v>Transport services</x:v>
      </x:c>
      <x:c r="E191" s="14" t="str">
        <x:v>PLI_EU27_2020</x:v>
      </x:c>
      <x:c r="F191" s="14" t="str">
        <x:v>A</x:v>
      </x:c>
      <x:c r="G191" s="18" t="n">
        <x:v>2024</x:v>
      </x:c>
      <x:c r="H191" s="19" t="n">
        <x:v>73.4</x:v>
      </x:c>
      <x:c r="I191" s="14" t="str"/>
    </x:row>
    <x:row r="192">
      <x:c r="A192" s="14" t="str">
        <x:v>RO</x:v>
      </x:c>
      <x:c r="B192" s="14" t="str">
        <x:v>Rúmenía</x:v>
      </x:c>
      <x:c r="C192" s="14" t="str">
        <x:v>A0111</x:v>
      </x:c>
      <x:c r="D192" s="14" t="str">
        <x:v>Restaurants and hotels</x:v>
      </x:c>
      <x:c r="E192" s="14" t="str">
        <x:v>PLI_EU27_2020</x:v>
      </x:c>
      <x:c r="F192" s="14" t="str">
        <x:v>A</x:v>
      </x:c>
      <x:c r="G192" s="18" t="n">
        <x:v>2024</x:v>
      </x:c>
      <x:c r="H192" s="19" t="n">
        <x:v>68.5</x:v>
      </x:c>
      <x:c r="I192" s="14" t="str"/>
    </x:row>
    <x:row r="193">
      <x:c r="A193" s="14" t="str">
        <x:v>RO</x:v>
      </x:c>
      <x:c r="B193" s="14" t="str">
        <x:v>Rúmenía</x:v>
      </x:c>
      <x:c r="C193" s="14" t="str">
        <x:v>E011</x:v>
      </x:c>
      <x:c r="D193" s="14" t="str">
        <x:v>Household final consumption expenditure</x:v>
      </x:c>
      <x:c r="E193" s="14" t="str">
        <x:v>PLI_EU27_2020</x:v>
      </x:c>
      <x:c r="F193" s="14" t="str">
        <x:v>A</x:v>
      </x:c>
      <x:c r="G193" s="18" t="n">
        <x:v>2024</x:v>
      </x:c>
      <x:c r="H193" s="19" t="n">
        <x:v>63.7</x:v>
      </x:c>
      <x:c r="I193" s="14" t="str"/>
    </x:row>
    <x:row r="194">
      <x:c r="A194" s="14" t="str">
        <x:v>SE</x:v>
      </x:c>
      <x:c r="B194" s="14" t="str">
        <x:v>Svíþjóð</x:v>
      </x:c>
      <x:c r="C194" s="14" t="str">
        <x:v>A01</x:v>
      </x:c>
      <x:c r="D194" s="14" t="str">
        <x:v>Actual individual consumption</x:v>
      </x:c>
      <x:c r="E194" s="14" t="str">
        <x:v>PLI_EU27_2020</x:v>
      </x:c>
      <x:c r="F194" s="14" t="str">
        <x:v>A</x:v>
      </x:c>
      <x:c r="G194" s="18" t="n">
        <x:v>2024</x:v>
      </x:c>
      <x:c r="H194" s="19" t="n">
        <x:v>123</x:v>
      </x:c>
      <x:c r="I194" s="14" t="str"/>
    </x:row>
    <x:row r="195">
      <x:c r="A195" s="14" t="str">
        <x:v>SE</x:v>
      </x:c>
      <x:c r="B195" s="14" t="str">
        <x:v>Svíþjóð</x:v>
      </x:c>
      <x:c r="C195" s="14" t="str">
        <x:v>A0101</x:v>
      </x:c>
      <x:c r="D195" s="14" t="str">
        <x:v>Food and non-alcoholic beverages</x:v>
      </x:c>
      <x:c r="E195" s="14" t="str">
        <x:v>PLI_EU27_2020</x:v>
      </x:c>
      <x:c r="F195" s="14" t="str">
        <x:v>A</x:v>
      </x:c>
      <x:c r="G195" s="18" t="n">
        <x:v>2024</x:v>
      </x:c>
      <x:c r="H195" s="19" t="n">
        <x:v>106.4</x:v>
      </x:c>
      <x:c r="I195" s="14" t="str"/>
    </x:row>
    <x:row r="196">
      <x:c r="A196" s="14" t="str">
        <x:v>SE</x:v>
      </x:c>
      <x:c r="B196" s="14" t="str">
        <x:v>Svíþjóð</x:v>
      </x:c>
      <x:c r="C196" s="14" t="str">
        <x:v>A0103</x:v>
      </x:c>
      <x:c r="D196" s="14" t="str">
        <x:v>Clothing and footwear</x:v>
      </x:c>
      <x:c r="E196" s="14" t="str">
        <x:v>PLI_EU27_2020</x:v>
      </x:c>
      <x:c r="F196" s="14" t="str">
        <x:v>A</x:v>
      </x:c>
      <x:c r="G196" s="18" t="n">
        <x:v>2024</x:v>
      </x:c>
      <x:c r="H196" s="19" t="n">
        <x:v>120.6</x:v>
      </x:c>
      <x:c r="I196" s="14" t="str"/>
    </x:row>
    <x:row r="197">
      <x:c r="A197" s="14" t="str">
        <x:v>SE</x:v>
      </x:c>
      <x:c r="B197" s="14" t="str">
        <x:v>Svíþjóð</x:v>
      </x:c>
      <x:c r="C197" s="14" t="str">
        <x:v>A010405</x:v>
      </x:c>
      <x:c r="D197" s="14" t="str">
        <x:v>Electricity, gas and other fuels</x:v>
      </x:c>
      <x:c r="E197" s="14" t="str">
        <x:v>PLI_EU27_2020</x:v>
      </x:c>
      <x:c r="F197" s="14" t="str">
        <x:v>A</x:v>
      </x:c>
      <x:c r="G197" s="18" t="n">
        <x:v>2024</x:v>
      </x:c>
      <x:c r="H197" s="19" t="n">
        <x:v>97.2</x:v>
      </x:c>
      <x:c r="I197" s="14" t="str"/>
    </x:row>
    <x:row r="198">
      <x:c r="A198" s="14" t="str">
        <x:v>SE</x:v>
      </x:c>
      <x:c r="B198" s="14" t="str">
        <x:v>Svíþjóð</x:v>
      </x:c>
      <x:c r="C198" s="14" t="str">
        <x:v>A010703</x:v>
      </x:c>
      <x:c r="D198" s="14" t="str">
        <x:v>Transport services</x:v>
      </x:c>
      <x:c r="E198" s="14" t="str">
        <x:v>PLI_EU27_2020</x:v>
      </x:c>
      <x:c r="F198" s="14" t="str">
        <x:v>A</x:v>
      </x:c>
      <x:c r="G198" s="18" t="n">
        <x:v>2024</x:v>
      </x:c>
      <x:c r="H198" s="19" t="n">
        <x:v>144.1</x:v>
      </x:c>
      <x:c r="I198" s="14" t="str"/>
    </x:row>
    <x:row r="199">
      <x:c r="A199" s="14" t="str">
        <x:v>SE</x:v>
      </x:c>
      <x:c r="B199" s="14" t="str">
        <x:v>Svíþjóð</x:v>
      </x:c>
      <x:c r="C199" s="14" t="str">
        <x:v>A0111</x:v>
      </x:c>
      <x:c r="D199" s="14" t="str">
        <x:v>Restaurants and hotels</x:v>
      </x:c>
      <x:c r="E199" s="14" t="str">
        <x:v>PLI_EU27_2020</x:v>
      </x:c>
      <x:c r="F199" s="14" t="str">
        <x:v>A</x:v>
      </x:c>
      <x:c r="G199" s="18" t="n">
        <x:v>2024</x:v>
      </x:c>
      <x:c r="H199" s="19" t="n">
        <x:v>116.7</x:v>
      </x:c>
      <x:c r="I199" s="14" t="str"/>
    </x:row>
    <x:row r="200">
      <x:c r="A200" s="14" t="str">
        <x:v>SE</x:v>
      </x:c>
      <x:c r="B200" s="14" t="str">
        <x:v>Svíþjóð</x:v>
      </x:c>
      <x:c r="C200" s="14" t="str">
        <x:v>E011</x:v>
      </x:c>
      <x:c r="D200" s="14" t="str">
        <x:v>Household final consumption expenditure</x:v>
      </x:c>
      <x:c r="E200" s="14" t="str">
        <x:v>PLI_EU27_2020</x:v>
      </x:c>
      <x:c r="F200" s="14" t="str">
        <x:v>A</x:v>
      </x:c>
      <x:c r="G200" s="18" t="n">
        <x:v>2024</x:v>
      </x:c>
      <x:c r="H200" s="19" t="n">
        <x:v>115.1</x:v>
      </x:c>
      <x:c r="I200" s="14" t="str"/>
    </x:row>
    <x:row r="201">
      <x:c r="A201" s="14" t="str">
        <x:v>SI</x:v>
      </x:c>
      <x:c r="B201" s="14" t="str">
        <x:v>Slóvenía</x:v>
      </x:c>
      <x:c r="C201" s="14" t="str">
        <x:v>A01</x:v>
      </x:c>
      <x:c r="D201" s="14" t="str">
        <x:v>Actual individual consumption</x:v>
      </x:c>
      <x:c r="E201" s="14" t="str">
        <x:v>PLI_EU27_2020</x:v>
      </x:c>
      <x:c r="F201" s="14" t="str">
        <x:v>A</x:v>
      </x:c>
      <x:c r="G201" s="18" t="n">
        <x:v>2024</x:v>
      </x:c>
      <x:c r="H201" s="19" t="n">
        <x:v>91</x:v>
      </x:c>
      <x:c r="I201" s="14" t="str"/>
    </x:row>
    <x:row r="202">
      <x:c r="A202" s="14" t="str">
        <x:v>SI</x:v>
      </x:c>
      <x:c r="B202" s="14" t="str">
        <x:v>Slóvenía</x:v>
      </x:c>
      <x:c r="C202" s="14" t="str">
        <x:v>A0101</x:v>
      </x:c>
      <x:c r="D202" s="14" t="str">
        <x:v>Food and non-alcoholic beverages</x:v>
      </x:c>
      <x:c r="E202" s="14" t="str">
        <x:v>PLI_EU27_2020</x:v>
      </x:c>
      <x:c r="F202" s="14" t="str">
        <x:v>A</x:v>
      </x:c>
      <x:c r="G202" s="18" t="n">
        <x:v>2024</x:v>
      </x:c>
      <x:c r="H202" s="19" t="n">
        <x:v>100</x:v>
      </x:c>
      <x:c r="I202" s="14" t="str"/>
    </x:row>
    <x:row r="203">
      <x:c r="A203" s="14" t="str">
        <x:v>SI</x:v>
      </x:c>
      <x:c r="B203" s="14" t="str">
        <x:v>Slóvenía</x:v>
      </x:c>
      <x:c r="C203" s="14" t="str">
        <x:v>A0103</x:v>
      </x:c>
      <x:c r="D203" s="14" t="str">
        <x:v>Clothing and footwear</x:v>
      </x:c>
      <x:c r="E203" s="14" t="str">
        <x:v>PLI_EU27_2020</x:v>
      </x:c>
      <x:c r="F203" s="14" t="str">
        <x:v>A</x:v>
      </x:c>
      <x:c r="G203" s="18" t="n">
        <x:v>2024</x:v>
      </x:c>
      <x:c r="H203" s="19" t="n">
        <x:v>97.8</x:v>
      </x:c>
      <x:c r="I203" s="14" t="str"/>
    </x:row>
    <x:row r="204">
      <x:c r="A204" s="14" t="str">
        <x:v>SI</x:v>
      </x:c>
      <x:c r="B204" s="14" t="str">
        <x:v>Slóvenía</x:v>
      </x:c>
      <x:c r="C204" s="14" t="str">
        <x:v>A010405</x:v>
      </x:c>
      <x:c r="D204" s="14" t="str">
        <x:v>Electricity, gas and other fuels</x:v>
      </x:c>
      <x:c r="E204" s="14" t="str">
        <x:v>PLI_EU27_2020</x:v>
      </x:c>
      <x:c r="F204" s="14" t="str">
        <x:v>A</x:v>
      </x:c>
      <x:c r="G204" s="18" t="n">
        <x:v>2024</x:v>
      </x:c>
      <x:c r="H204" s="19" t="n">
        <x:v>81.6</x:v>
      </x:c>
      <x:c r="I204" s="14" t="str"/>
    </x:row>
    <x:row r="205">
      <x:c r="A205" s="14" t="str">
        <x:v>SI</x:v>
      </x:c>
      <x:c r="B205" s="14" t="str">
        <x:v>Slóvenía</x:v>
      </x:c>
      <x:c r="C205" s="14" t="str">
        <x:v>A010703</x:v>
      </x:c>
      <x:c r="D205" s="14" t="str">
        <x:v>Transport services</x:v>
      </x:c>
      <x:c r="E205" s="14" t="str">
        <x:v>PLI_EU27_2020</x:v>
      </x:c>
      <x:c r="F205" s="14" t="str">
        <x:v>A</x:v>
      </x:c>
      <x:c r="G205" s="18" t="n">
        <x:v>2024</x:v>
      </x:c>
      <x:c r="H205" s="19" t="n">
        <x:v>98.9</x:v>
      </x:c>
      <x:c r="I205" s="14" t="str"/>
    </x:row>
    <x:row r="206">
      <x:c r="A206" s="14" t="str">
        <x:v>SI</x:v>
      </x:c>
      <x:c r="B206" s="14" t="str">
        <x:v>Slóvenía</x:v>
      </x:c>
      <x:c r="C206" s="14" t="str">
        <x:v>A0111</x:v>
      </x:c>
      <x:c r="D206" s="14" t="str">
        <x:v>Restaurants and hotels</x:v>
      </x:c>
      <x:c r="E206" s="14" t="str">
        <x:v>PLI_EU27_2020</x:v>
      </x:c>
      <x:c r="F206" s="14" t="str">
        <x:v>A</x:v>
      </x:c>
      <x:c r="G206" s="18" t="n">
        <x:v>2024</x:v>
      </x:c>
      <x:c r="H206" s="19" t="n">
        <x:v>90.1</x:v>
      </x:c>
      <x:c r="I206" s="14" t="str"/>
    </x:row>
    <x:row r="207">
      <x:c r="A207" s="14" t="str">
        <x:v>SI</x:v>
      </x:c>
      <x:c r="B207" s="14" t="str">
        <x:v>Slóvenía</x:v>
      </x:c>
      <x:c r="C207" s="14" t="str">
        <x:v>E011</x:v>
      </x:c>
      <x:c r="D207" s="14" t="str">
        <x:v>Household final consumption expenditure</x:v>
      </x:c>
      <x:c r="E207" s="14" t="str">
        <x:v>PLI_EU27_2020</x:v>
      </x:c>
      <x:c r="F207" s="14" t="str">
        <x:v>A</x:v>
      </x:c>
      <x:c r="G207" s="18" t="n">
        <x:v>2024</x:v>
      </x:c>
      <x:c r="H207" s="19" t="n">
        <x:v>90.2</x:v>
      </x:c>
      <x:c r="I207" s="14" t="str"/>
    </x:row>
    <x:row r="208">
      <x:c r="A208" s="14" t="str">
        <x:v>SK</x:v>
      </x:c>
      <x:c r="B208" s="14" t="str">
        <x:v>Slóvakía</x:v>
      </x:c>
      <x:c r="C208" s="14" t="str">
        <x:v>A01</x:v>
      </x:c>
      <x:c r="D208" s="14" t="str">
        <x:v>Actual individual consumption</x:v>
      </x:c>
      <x:c r="E208" s="14" t="str">
        <x:v>PLI_EU27_2020</x:v>
      </x:c>
      <x:c r="F208" s="14" t="str">
        <x:v>A</x:v>
      </x:c>
      <x:c r="G208" s="18" t="n">
        <x:v>2024</x:v>
      </x:c>
      <x:c r="H208" s="19" t="n">
        <x:v>81.1</x:v>
      </x:c>
      <x:c r="I208" s="14" t="str"/>
    </x:row>
    <x:row r="209">
      <x:c r="A209" s="14" t="str">
        <x:v>SK</x:v>
      </x:c>
      <x:c r="B209" s="14" t="str">
        <x:v>Slóvakía</x:v>
      </x:c>
      <x:c r="C209" s="14" t="str">
        <x:v>A0101</x:v>
      </x:c>
      <x:c r="D209" s="14" t="str">
        <x:v>Food and non-alcoholic beverages</x:v>
      </x:c>
      <x:c r="E209" s="14" t="str">
        <x:v>PLI_EU27_2020</x:v>
      </x:c>
      <x:c r="F209" s="14" t="str">
        <x:v>A</x:v>
      </x:c>
      <x:c r="G209" s="18" t="n">
        <x:v>2024</x:v>
      </x:c>
      <x:c r="H209" s="19" t="n">
        <x:v>83.4</x:v>
      </x:c>
      <x:c r="I209" s="14" t="str"/>
    </x:row>
    <x:row r="210">
      <x:c r="A210" s="14" t="str">
        <x:v>SK</x:v>
      </x:c>
      <x:c r="B210" s="14" t="str">
        <x:v>Slóvakía</x:v>
      </x:c>
      <x:c r="C210" s="14" t="str">
        <x:v>A0103</x:v>
      </x:c>
      <x:c r="D210" s="14" t="str">
        <x:v>Clothing and footwear</x:v>
      </x:c>
      <x:c r="E210" s="14" t="str">
        <x:v>PLI_EU27_2020</x:v>
      </x:c>
      <x:c r="F210" s="14" t="str">
        <x:v>A</x:v>
      </x:c>
      <x:c r="G210" s="18" t="n">
        <x:v>2024</x:v>
      </x:c>
      <x:c r="H210" s="19" t="n">
        <x:v>97.2</x:v>
      </x:c>
      <x:c r="I210" s="14" t="str"/>
    </x:row>
    <x:row r="211">
      <x:c r="A211" s="14" t="str">
        <x:v>SK</x:v>
      </x:c>
      <x:c r="B211" s="14" t="str">
        <x:v>Slóvakía</x:v>
      </x:c>
      <x:c r="C211" s="14" t="str">
        <x:v>A010405</x:v>
      </x:c>
      <x:c r="D211" s="14" t="str">
        <x:v>Electricity, gas and other fuels</x:v>
      </x:c>
      <x:c r="E211" s="14" t="str">
        <x:v>PLI_EU27_2020</x:v>
      </x:c>
      <x:c r="F211" s="14" t="str">
        <x:v>A</x:v>
      </x:c>
      <x:c r="G211" s="18" t="n">
        <x:v>2024</x:v>
      </x:c>
      <x:c r="H211" s="19" t="n">
        <x:v>69.5</x:v>
      </x:c>
      <x:c r="I211" s="14" t="str"/>
    </x:row>
    <x:row r="212">
      <x:c r="A212" s="14" t="str">
        <x:v>SK</x:v>
      </x:c>
      <x:c r="B212" s="14" t="str">
        <x:v>Slóvakía</x:v>
      </x:c>
      <x:c r="C212" s="14" t="str">
        <x:v>A010703</x:v>
      </x:c>
      <x:c r="D212" s="14" t="str">
        <x:v>Transport services</x:v>
      </x:c>
      <x:c r="E212" s="14" t="str">
        <x:v>PLI_EU27_2020</x:v>
      </x:c>
      <x:c r="F212" s="14" t="str">
        <x:v>A</x:v>
      </x:c>
      <x:c r="G212" s="18" t="n">
        <x:v>2024</x:v>
      </x:c>
      <x:c r="H212" s="19" t="n">
        <x:v>91</x:v>
      </x:c>
      <x:c r="I212" s="14" t="str"/>
    </x:row>
    <x:row r="213">
      <x:c r="A213" s="14" t="str">
        <x:v>SK</x:v>
      </x:c>
      <x:c r="B213" s="14" t="str">
        <x:v>Slóvakía</x:v>
      </x:c>
      <x:c r="C213" s="14" t="str">
        <x:v>A0111</x:v>
      </x:c>
      <x:c r="D213" s="14" t="str">
        <x:v>Restaurants and hotels</x:v>
      </x:c>
      <x:c r="E213" s="14" t="str">
        <x:v>PLI_EU27_2020</x:v>
      </x:c>
      <x:c r="F213" s="14" t="str">
        <x:v>A</x:v>
      </x:c>
      <x:c r="G213" s="18" t="n">
        <x:v>2024</x:v>
      </x:c>
      <x:c r="H213" s="19" t="n">
        <x:v>91.3</x:v>
      </x:c>
      <x:c r="I213" s="14" t="str"/>
    </x:row>
    <x:row r="214">
      <x:c r="A214" s="14" t="str">
        <x:v>SK</x:v>
      </x:c>
      <x:c r="B214" s="14" t="str">
        <x:v>Slóvakía</x:v>
      </x:c>
      <x:c r="C214" s="14" t="str">
        <x:v>E011</x:v>
      </x:c>
      <x:c r="D214" s="14" t="str">
        <x:v>Household final consumption expenditure</x:v>
      </x:c>
      <x:c r="E214" s="14" t="str">
        <x:v>PLI_EU27_2020</x:v>
      </x:c>
      <x:c r="F214" s="14" t="str">
        <x:v>A</x:v>
      </x:c>
      <x:c r="G214" s="18" t="n">
        <x:v>2024</x:v>
      </x:c>
      <x:c r="H214" s="19" t="n">
        <x:v>84.7</x:v>
      </x:c>
      <x:c r="I214" s="14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0" hidden="0" customWidth="1"/>
    <x:col min="4" max="4" width="24" hidden="0" customWidth="1"/>
    <x:col min="5" max="5" width="10" hidden="0" customWidth="1"/>
    <x:col min="6" max="6" width="14" hidden="0" customWidth="1"/>
    <x:col min="7" max="7" width="10" hidden="0" customWidth="1"/>
    <x:col min="8" max="8" width="10" hidden="0" customWidth="1"/>
    <x:col min="9" max="9" width="16" hidden="0" customWidth="1"/>
    <x:col min="10" max="10" width="10" hidden="0" customWidth="1"/>
  </x:cols>
  <x:sheetData>
    <x:row r="1" ht="30" customHeight="1">
      <x:c r="A1" s="3" t="str">
        <x:v>Eurostat-tekjur</x:v>
      </x:c>
      <x:c r="B1" s="3" t="str">
        <x:v>Eurostat-tekjur</x:v>
      </x:c>
      <x:c r="C1" s="3" t="str">
        <x:v>Eurostat-tekjur</x:v>
      </x:c>
      <x:c r="D1" s="3" t="str">
        <x:v>Eurostat-tekjur</x:v>
      </x:c>
      <x:c r="E1" s="3" t="str">
        <x:v>Eurostat-tekjur</x:v>
      </x:c>
      <x:c r="F1" s="3" t="str">
        <x:v>Eurostat-tekjur</x:v>
      </x:c>
      <x:c r="G1" s="3" t="str">
        <x:v>Eurostat-tekjur</x:v>
      </x:c>
      <x:c r="H1" s="3" t="str">
        <x:v>Eurostat-tekjur</x:v>
      </x:c>
      <x:c r="I1" s="3" t="str">
        <x:v>Eurostat-tekjur</x:v>
      </x:c>
      <x:c r="J1" s="3" t="str">
        <x:v>Eurostat-tekjur</x:v>
      </x:c>
    </x:row>
    <x:row r="2" ht="32" customHeight="1">
      <x:c r="A2" s="7" t="str">
        <x:v>ilc_di03; MED_EI; TOTAL; T; núverandi gögn og síðasta íslenska athugun</x:v>
      </x:c>
      <x:c r="B2" s="7" t="str">
        <x:v>ilc_di03; MED_EI; TOTAL; T; núverandi gögn og síðasta íslenska athugun</x:v>
      </x:c>
      <x:c r="C2" s="7" t="str">
        <x:v>ilc_di03; MED_EI; TOTAL; T; núverandi gögn og síðasta íslenska athugun</x:v>
      </x:c>
      <x:c r="D2" s="7" t="str">
        <x:v>ilc_di03; MED_EI; TOTAL; T; núverandi gögn og síðasta íslenska athugun</x:v>
      </x:c>
      <x:c r="E2" s="7" t="str">
        <x:v>ilc_di03; MED_EI; TOTAL; T; núverandi gögn og síðasta íslenska athugun</x:v>
      </x:c>
      <x:c r="F2" s="7" t="str">
        <x:v>ilc_di03; MED_EI; TOTAL; T; núverandi gögn og síðasta íslenska athugun</x:v>
      </x:c>
      <x:c r="G2" s="7" t="str">
        <x:v>ilc_di03; MED_EI; TOTAL; T; núverandi gögn og síðasta íslenska athugun</x:v>
      </x:c>
      <x:c r="H2" s="7" t="str">
        <x:v>ilc_di03; MED_EI; TOTAL; T; núverandi gögn og síðasta íslenska athugun</x:v>
      </x:c>
      <x:c r="I2" s="7" t="str">
        <x:v>ilc_di03; MED_EI; TOTAL; T; núverandi gögn og síðasta íslenska athugun</x:v>
      </x:c>
      <x:c r="J2" s="7" t="str">
        <x:v>ilc_di03; MED_EI; TOTAL; T; núverandi gögn og síðasta íslenska athugun</x:v>
      </x:c>
    </x:row>
    <x:row r="4">
      <x:c r="A4" s="12" t="str">
        <x:v>geo</x:v>
      </x:c>
      <x:c r="B4" s="12" t="str">
        <x:v>land</x:v>
      </x:c>
      <x:c r="C4" s="12" t="str">
        <x:v>time</x:v>
      </x:c>
      <x:c r="D4" s="12" t="str">
        <x:v>tekjuviðmið</x:v>
      </x:c>
      <x:c r="E4" s="12" t="str">
        <x:v>unit</x:v>
      </x:c>
      <x:c r="F4" s="12" t="str">
        <x:v>statinfo</x:v>
      </x:c>
      <x:c r="G4" s="12" t="str">
        <x:v>age</x:v>
      </x:c>
      <x:c r="H4" s="12" t="str">
        <x:v>sex</x:v>
      </x:c>
      <x:c r="I4" s="12" t="str">
        <x:v>gildi</x:v>
      </x:c>
      <x:c r="J4" s="12" t="str">
        <x:v>status</x:v>
      </x:c>
    </x:row>
    <x:row r="5">
      <x:c r="A5" s="14" t="str">
        <x:v>AT</x:v>
      </x:c>
      <x:c r="B5" s="14" t="str">
        <x:v>Austurríki</x:v>
      </x:c>
      <x:c r="C5" s="18" t="n">
        <x:v>2024</x:v>
      </x:c>
      <x:c r="D5" s="14" t="str">
        <x:v>almennt fyrra almanaksár</x:v>
      </x:c>
      <x:c r="E5" s="14" t="str">
        <x:v>EUR</x:v>
      </x:c>
      <x:c r="F5" s="14" t="str">
        <x:v>MED_EI</x:v>
      </x:c>
      <x:c r="G5" s="14" t="str">
        <x:v>TOTAL</x:v>
      </x:c>
      <x:c r="H5" s="14" t="str">
        <x:v>T</x:v>
      </x:c>
      <x:c r="I5" s="20" t="n">
        <x:v>33210</x:v>
      </x:c>
      <x:c r="J5" s="14" t="str"/>
    </x:row>
    <x:row r="6">
      <x:c r="A6" s="14" t="str">
        <x:v>BE</x:v>
      </x:c>
      <x:c r="B6" s="14" t="str">
        <x:v>Belgía</x:v>
      </x:c>
      <x:c r="C6" s="18" t="n">
        <x:v>2024</x:v>
      </x:c>
      <x:c r="D6" s="14" t="str">
        <x:v>almennt fyrra almanaksár</x:v>
      </x:c>
      <x:c r="E6" s="14" t="str">
        <x:v>EUR</x:v>
      </x:c>
      <x:c r="F6" s="14" t="str">
        <x:v>MED_EI</x:v>
      </x:c>
      <x:c r="G6" s="14" t="str">
        <x:v>TOTAL</x:v>
      </x:c>
      <x:c r="H6" s="14" t="str">
        <x:v>T</x:v>
      </x:c>
      <x:c r="I6" s="20" t="n">
        <x:v>30446</x:v>
      </x:c>
      <x:c r="J6" s="14" t="str"/>
    </x:row>
    <x:row r="7">
      <x:c r="A7" s="14" t="str">
        <x:v>BG</x:v>
      </x:c>
      <x:c r="B7" s="14" t="str">
        <x:v>Búlgaría</x:v>
      </x:c>
      <x:c r="C7" s="18" t="n">
        <x:v>2024</x:v>
      </x:c>
      <x:c r="D7" s="14" t="str">
        <x:v>almennt fyrra almanaksár</x:v>
      </x:c>
      <x:c r="E7" s="14" t="str">
        <x:v>EUR</x:v>
      </x:c>
      <x:c r="F7" s="14" t="str">
        <x:v>MED_EI</x:v>
      </x:c>
      <x:c r="G7" s="14" t="str">
        <x:v>TOTAL</x:v>
      </x:c>
      <x:c r="H7" s="14" t="str">
        <x:v>T</x:v>
      </x:c>
      <x:c r="I7" s="20" t="n">
        <x:v>7811</x:v>
      </x:c>
      <x:c r="J7" s="14" t="str"/>
    </x:row>
    <x:row r="8">
      <x:c r="A8" s="14" t="str">
        <x:v>CY</x:v>
      </x:c>
      <x:c r="B8" s="14" t="str">
        <x:v>Kýpur</x:v>
      </x:c>
      <x:c r="C8" s="18" t="n">
        <x:v>2024</x:v>
      </x:c>
      <x:c r="D8" s="14" t="str">
        <x:v>almennt fyrra almanaksár</x:v>
      </x:c>
      <x:c r="E8" s="14" t="str">
        <x:v>EUR</x:v>
      </x:c>
      <x:c r="F8" s="14" t="str">
        <x:v>MED_EI</x:v>
      </x:c>
      <x:c r="G8" s="14" t="str">
        <x:v>TOTAL</x:v>
      </x:c>
      <x:c r="H8" s="14" t="str">
        <x:v>T</x:v>
      </x:c>
      <x:c r="I8" s="20" t="n">
        <x:v>20666</x:v>
      </x:c>
      <x:c r="J8" s="14" t="str"/>
    </x:row>
    <x:row r="9">
      <x:c r="A9" s="14" t="str">
        <x:v>CZ</x:v>
      </x:c>
      <x:c r="B9" s="14" t="str">
        <x:v>Tékkland</x:v>
      </x:c>
      <x:c r="C9" s="18" t="n">
        <x:v>2024</x:v>
      </x:c>
      <x:c r="D9" s="14" t="str">
        <x:v>almennt fyrra almanaksár</x:v>
      </x:c>
      <x:c r="E9" s="14" t="str">
        <x:v>EUR</x:v>
      </x:c>
      <x:c r="F9" s="14" t="str">
        <x:v>MED_EI</x:v>
      </x:c>
      <x:c r="G9" s="14" t="str">
        <x:v>TOTAL</x:v>
      </x:c>
      <x:c r="H9" s="14" t="str">
        <x:v>T</x:v>
      </x:c>
      <x:c r="I9" s="20" t="n">
        <x:v>15133</x:v>
      </x:c>
      <x:c r="J9" s="14" t="str"/>
    </x:row>
    <x:row r="10">
      <x:c r="A10" s="14" t="str">
        <x:v>DE</x:v>
      </x:c>
      <x:c r="B10" s="14" t="str">
        <x:v>Þýskaland</x:v>
      </x:c>
      <x:c r="C10" s="18" t="n">
        <x:v>2024</x:v>
      </x:c>
      <x:c r="D10" s="14" t="str">
        <x:v>almennt fyrra almanaksár</x:v>
      </x:c>
      <x:c r="E10" s="14" t="str">
        <x:v>EUR</x:v>
      </x:c>
      <x:c r="F10" s="14" t="str">
        <x:v>MED_EI</x:v>
      </x:c>
      <x:c r="G10" s="14" t="str">
        <x:v>TOTAL</x:v>
      </x:c>
      <x:c r="H10" s="14" t="str">
        <x:v>T</x:v>
      </x:c>
      <x:c r="I10" s="20" t="n">
        <x:v>27619</x:v>
      </x:c>
      <x:c r="J10" s="14" t="str"/>
    </x:row>
    <x:row r="11">
      <x:c r="A11" s="14" t="str">
        <x:v>DK</x:v>
      </x:c>
      <x:c r="B11" s="14" t="str">
        <x:v>Danmörk</x:v>
      </x:c>
      <x:c r="C11" s="18" t="n">
        <x:v>2024</x:v>
      </x:c>
      <x:c r="D11" s="14" t="str">
        <x:v>almennt fyrra almanaksár</x:v>
      </x:c>
      <x:c r="E11" s="14" t="str">
        <x:v>EUR</x:v>
      </x:c>
      <x:c r="F11" s="14" t="str">
        <x:v>MED_EI</x:v>
      </x:c>
      <x:c r="G11" s="14" t="str">
        <x:v>TOTAL</x:v>
      </x:c>
      <x:c r="H11" s="14" t="str">
        <x:v>T</x:v>
      </x:c>
      <x:c r="I11" s="20" t="n">
        <x:v>34843</x:v>
      </x:c>
      <x:c r="J11" s="14" t="str"/>
    </x:row>
    <x:row r="12">
      <x:c r="A12" s="14" t="str">
        <x:v>EE</x:v>
      </x:c>
      <x:c r="B12" s="14" t="str">
        <x:v>Eistland</x:v>
      </x:c>
      <x:c r="C12" s="18" t="n">
        <x:v>2024</x:v>
      </x:c>
      <x:c r="D12" s="14" t="str">
        <x:v>almennt fyrra almanaksár</x:v>
      </x:c>
      <x:c r="E12" s="14" t="str">
        <x:v>EUR</x:v>
      </x:c>
      <x:c r="F12" s="14" t="str">
        <x:v>MED_EI</x:v>
      </x:c>
      <x:c r="G12" s="14" t="str">
        <x:v>TOTAL</x:v>
      </x:c>
      <x:c r="H12" s="14" t="str">
        <x:v>T</x:v>
      </x:c>
      <x:c r="I12" s="20" t="n">
        <x:v>16140</x:v>
      </x:c>
      <x:c r="J12" s="14" t="str"/>
    </x:row>
    <x:row r="13">
      <x:c r="A13" s="14" t="str">
        <x:v>EL</x:v>
      </x:c>
      <x:c r="B13" s="14" t="str">
        <x:v>Grikkland</x:v>
      </x:c>
      <x:c r="C13" s="18" t="n">
        <x:v>2024</x:v>
      </x:c>
      <x:c r="D13" s="14" t="str">
        <x:v>almennt fyrra almanaksár</x:v>
      </x:c>
      <x:c r="E13" s="14" t="str">
        <x:v>EUR</x:v>
      </x:c>
      <x:c r="F13" s="14" t="str">
        <x:v>MED_EI</x:v>
      </x:c>
      <x:c r="G13" s="14" t="str">
        <x:v>TOTAL</x:v>
      </x:c>
      <x:c r="H13" s="14" t="str">
        <x:v>T</x:v>
      </x:c>
      <x:c r="I13" s="20" t="n">
        <x:v>10850</x:v>
      </x:c>
      <x:c r="J13" s="14" t="str"/>
    </x:row>
    <x:row r="14">
      <x:c r="A14" s="14" t="str">
        <x:v>ES</x:v>
      </x:c>
      <x:c r="B14" s="14" t="str">
        <x:v>Spánn</x:v>
      </x:c>
      <x:c r="C14" s="18" t="n">
        <x:v>2024</x:v>
      </x:c>
      <x:c r="D14" s="14" t="str">
        <x:v>almennt fyrra almanaksár</x:v>
      </x:c>
      <x:c r="E14" s="14" t="str">
        <x:v>EUR</x:v>
      </x:c>
      <x:c r="F14" s="14" t="str">
        <x:v>MED_EI</x:v>
      </x:c>
      <x:c r="G14" s="14" t="str">
        <x:v>TOTAL</x:v>
      </x:c>
      <x:c r="H14" s="14" t="str">
        <x:v>T</x:v>
      </x:c>
      <x:c r="I14" s="20" t="n">
        <x:v>19307</x:v>
      </x:c>
      <x:c r="J14" s="14" t="str"/>
    </x:row>
    <x:row r="15">
      <x:c r="A15" s="14" t="str">
        <x:v>EU27_2020</x:v>
      </x:c>
      <x:c r="B15" s="14" t="str">
        <x:v>ESB-27</x:v>
      </x:c>
      <x:c r="C15" s="18" t="n">
        <x:v>2024</x:v>
      </x:c>
      <x:c r="D15" s="14" t="str">
        <x:v>almennt fyrra almanaksár</x:v>
      </x:c>
      <x:c r="E15" s="14" t="str">
        <x:v>EUR</x:v>
      </x:c>
      <x:c r="F15" s="14" t="str">
        <x:v>MED_EI</x:v>
      </x:c>
      <x:c r="G15" s="14" t="str">
        <x:v>TOTAL</x:v>
      </x:c>
      <x:c r="H15" s="14" t="str">
        <x:v>T</x:v>
      </x:c>
      <x:c r="I15" s="20" t="n">
        <x:v>21582</x:v>
      </x:c>
      <x:c r="J15" s="14" t="str"/>
    </x:row>
    <x:row r="16">
      <x:c r="A16" s="14" t="str">
        <x:v>FI</x:v>
      </x:c>
      <x:c r="B16" s="14" t="str">
        <x:v>Finnland</x:v>
      </x:c>
      <x:c r="C16" s="18" t="n">
        <x:v>2024</x:v>
      </x:c>
      <x:c r="D16" s="14" t="str">
        <x:v>almennt fyrra almanaksár</x:v>
      </x:c>
      <x:c r="E16" s="14" t="str">
        <x:v>EUR</x:v>
      </x:c>
      <x:c r="F16" s="14" t="str">
        <x:v>MED_EI</x:v>
      </x:c>
      <x:c r="G16" s="14" t="str">
        <x:v>TOTAL</x:v>
      </x:c>
      <x:c r="H16" s="14" t="str">
        <x:v>T</x:v>
      </x:c>
      <x:c r="I16" s="20" t="n">
        <x:v>28693</x:v>
      </x:c>
      <x:c r="J16" s="14" t="str"/>
    </x:row>
    <x:row r="17">
      <x:c r="A17" s="14" t="str">
        <x:v>FR</x:v>
      </x:c>
      <x:c r="B17" s="14" t="str">
        <x:v>Frakkland</x:v>
      </x:c>
      <x:c r="C17" s="18" t="n">
        <x:v>2024</x:v>
      </x:c>
      <x:c r="D17" s="14" t="str">
        <x:v>almennt fyrra almanaksár</x:v>
      </x:c>
      <x:c r="E17" s="14" t="str">
        <x:v>EUR</x:v>
      </x:c>
      <x:c r="F17" s="14" t="str">
        <x:v>MED_EI</x:v>
      </x:c>
      <x:c r="G17" s="14" t="str">
        <x:v>TOTAL</x:v>
      </x:c>
      <x:c r="H17" s="14" t="str">
        <x:v>T</x:v>
      </x:c>
      <x:c r="I17" s="20" t="n">
        <x:v>25557</x:v>
      </x:c>
      <x:c r="J17" s="14" t="str"/>
    </x:row>
    <x:row r="18">
      <x:c r="A18" s="14" t="str">
        <x:v>HR</x:v>
      </x:c>
      <x:c r="B18" s="14" t="str">
        <x:v>Króatía</x:v>
      </x:c>
      <x:c r="C18" s="18" t="n">
        <x:v>2024</x:v>
      </x:c>
      <x:c r="D18" s="14" t="str">
        <x:v>almennt fyrra almanaksár</x:v>
      </x:c>
      <x:c r="E18" s="14" t="str">
        <x:v>EUR</x:v>
      </x:c>
      <x:c r="F18" s="14" t="str">
        <x:v>MED_EI</x:v>
      </x:c>
      <x:c r="G18" s="14" t="str">
        <x:v>TOTAL</x:v>
      </x:c>
      <x:c r="H18" s="14" t="str">
        <x:v>T</x:v>
      </x:c>
      <x:c r="I18" s="20" t="n">
        <x:v>12344</x:v>
      </x:c>
      <x:c r="J18" s="14" t="str">
        <x:v>b</x:v>
      </x:c>
    </x:row>
    <x:row r="19">
      <x:c r="A19" s="14" t="str">
        <x:v>HU</x:v>
      </x:c>
      <x:c r="B19" s="14" t="str">
        <x:v>Ungverjaland</x:v>
      </x:c>
      <x:c r="C19" s="18" t="n">
        <x:v>2024</x:v>
      </x:c>
      <x:c r="D19" s="14" t="str">
        <x:v>almennt fyrra almanaksár</x:v>
      </x:c>
      <x:c r="E19" s="14" t="str">
        <x:v>EUR</x:v>
      </x:c>
      <x:c r="F19" s="14" t="str">
        <x:v>MED_EI</x:v>
      </x:c>
      <x:c r="G19" s="14" t="str">
        <x:v>TOTAL</x:v>
      </x:c>
      <x:c r="H19" s="14" t="str">
        <x:v>T</x:v>
      </x:c>
      <x:c r="I19" s="20" t="n">
        <x:v>8488</x:v>
      </x:c>
      <x:c r="J19" s="14" t="str"/>
    </x:row>
    <x:row r="20">
      <x:c r="A20" s="14" t="str">
        <x:v>IE</x:v>
      </x:c>
      <x:c r="B20" s="14" t="str">
        <x:v>Írland</x:v>
      </x:c>
      <x:c r="C20" s="18" t="n">
        <x:v>2024</x:v>
      </x:c>
      <x:c r="D20" s="14" t="str">
        <x:v>almennt fyrra almanaksár</x:v>
      </x:c>
      <x:c r="E20" s="14" t="str">
        <x:v>EUR</x:v>
      </x:c>
      <x:c r="F20" s="14" t="str">
        <x:v>MED_EI</x:v>
      </x:c>
      <x:c r="G20" s="14" t="str">
        <x:v>TOTAL</x:v>
      </x:c>
      <x:c r="H20" s="14" t="str">
        <x:v>T</x:v>
      </x:c>
      <x:c r="I20" s="20" t="n">
        <x:v>33013</x:v>
      </x:c>
      <x:c r="J20" s="14" t="str"/>
    </x:row>
    <x:row r="21">
      <x:c r="A21" s="14" t="str">
        <x:v>IT</x:v>
      </x:c>
      <x:c r="B21" s="14" t="str">
        <x:v>Ítalía</x:v>
      </x:c>
      <x:c r="C21" s="18" t="n">
        <x:v>2024</x:v>
      </x:c>
      <x:c r="D21" s="14" t="str">
        <x:v>almennt fyrra almanaksár</x:v>
      </x:c>
      <x:c r="E21" s="14" t="str">
        <x:v>EUR</x:v>
      </x:c>
      <x:c r="F21" s="14" t="str">
        <x:v>MED_EI</x:v>
      </x:c>
      <x:c r="G21" s="14" t="str">
        <x:v>TOTAL</x:v>
      </x:c>
      <x:c r="H21" s="14" t="str">
        <x:v>T</x:v>
      </x:c>
      <x:c r="I21" s="20" t="n">
        <x:v>20605</x:v>
      </x:c>
      <x:c r="J21" s="14" t="str"/>
    </x:row>
    <x:row r="22">
      <x:c r="A22" s="14" t="str">
        <x:v>LT</x:v>
      </x:c>
      <x:c r="B22" s="14" t="str">
        <x:v>Litháen</x:v>
      </x:c>
      <x:c r="C22" s="18" t="n">
        <x:v>2024</x:v>
      </x:c>
      <x:c r="D22" s="14" t="str">
        <x:v>almennt fyrra almanaksár</x:v>
      </x:c>
      <x:c r="E22" s="14" t="str">
        <x:v>EUR</x:v>
      </x:c>
      <x:c r="F22" s="14" t="str">
        <x:v>MED_EI</x:v>
      </x:c>
      <x:c r="G22" s="14" t="str">
        <x:v>TOTAL</x:v>
      </x:c>
      <x:c r="H22" s="14" t="str">
        <x:v>T</x:v>
      </x:c>
      <x:c r="I22" s="20" t="n">
        <x:v>12325</x:v>
      </x:c>
      <x:c r="J22" s="14" t="str">
        <x:v>p</x:v>
      </x:c>
    </x:row>
    <x:row r="23">
      <x:c r="A23" s="14" t="str">
        <x:v>LU</x:v>
      </x:c>
      <x:c r="B23" s="14" t="str">
        <x:v>Lúxemborg</x:v>
      </x:c>
      <x:c r="C23" s="18" t="n">
        <x:v>2024</x:v>
      </x:c>
      <x:c r="D23" s="14" t="str">
        <x:v>almennt fyrra almanaksár</x:v>
      </x:c>
      <x:c r="E23" s="14" t="str">
        <x:v>EUR</x:v>
      </x:c>
      <x:c r="F23" s="14" t="str">
        <x:v>MED_EI</x:v>
      </x:c>
      <x:c r="G23" s="14" t="str">
        <x:v>TOTAL</x:v>
      </x:c>
      <x:c r="H23" s="14" t="str">
        <x:v>T</x:v>
      </x:c>
      <x:c r="I23" s="20" t="n">
        <x:v>50799</x:v>
      </x:c>
      <x:c r="J23" s="14" t="str"/>
    </x:row>
    <x:row r="24">
      <x:c r="A24" s="14" t="str">
        <x:v>LV</x:v>
      </x:c>
      <x:c r="B24" s="14" t="str">
        <x:v>Lettland</x:v>
      </x:c>
      <x:c r="C24" s="18" t="n">
        <x:v>2024</x:v>
      </x:c>
      <x:c r="D24" s="14" t="str">
        <x:v>almennt fyrra almanaksár</x:v>
      </x:c>
      <x:c r="E24" s="14" t="str">
        <x:v>EUR</x:v>
      </x:c>
      <x:c r="F24" s="14" t="str">
        <x:v>MED_EI</x:v>
      </x:c>
      <x:c r="G24" s="14" t="str">
        <x:v>TOTAL</x:v>
      </x:c>
      <x:c r="H24" s="14" t="str">
        <x:v>T</x:v>
      </x:c>
      <x:c r="I24" s="20" t="n">
        <x:v>12821</x:v>
      </x:c>
      <x:c r="J24" s="14" t="str"/>
    </x:row>
    <x:row r="25">
      <x:c r="A25" s="14" t="str">
        <x:v>MT</x:v>
      </x:c>
      <x:c r="B25" s="14" t="str">
        <x:v>Malta</x:v>
      </x:c>
      <x:c r="C25" s="18" t="n">
        <x:v>2024</x:v>
      </x:c>
      <x:c r="D25" s="14" t="str">
        <x:v>almennt fyrra almanaksár</x:v>
      </x:c>
      <x:c r="E25" s="14" t="str">
        <x:v>EUR</x:v>
      </x:c>
      <x:c r="F25" s="14" t="str">
        <x:v>MED_EI</x:v>
      </x:c>
      <x:c r="G25" s="14" t="str">
        <x:v>TOTAL</x:v>
      </x:c>
      <x:c r="H25" s="14" t="str">
        <x:v>T</x:v>
      </x:c>
      <x:c r="I25" s="20" t="n">
        <x:v>19701</x:v>
      </x:c>
      <x:c r="J25" s="14" t="str"/>
    </x:row>
    <x:row r="26">
      <x:c r="A26" s="14" t="str">
        <x:v>NL</x:v>
      </x:c>
      <x:c r="B26" s="14" t="str">
        <x:v>Holland</x:v>
      </x:c>
      <x:c r="C26" s="18" t="n">
        <x:v>2024</x:v>
      </x:c>
      <x:c r="D26" s="14" t="str">
        <x:v>almennt fyrra almanaksár</x:v>
      </x:c>
      <x:c r="E26" s="14" t="str">
        <x:v>EUR</x:v>
      </x:c>
      <x:c r="F26" s="14" t="str">
        <x:v>MED_EI</x:v>
      </x:c>
      <x:c r="G26" s="14" t="str">
        <x:v>TOTAL</x:v>
      </x:c>
      <x:c r="H26" s="14" t="str">
        <x:v>T</x:v>
      </x:c>
      <x:c r="I26" s="20" t="n">
        <x:v>31981</x:v>
      </x:c>
      <x:c r="J26" s="14" t="str"/>
    </x:row>
    <x:row r="27">
      <x:c r="A27" s="14" t="str">
        <x:v>NO</x:v>
      </x:c>
      <x:c r="B27" s="14" t="str">
        <x:v>Noregur</x:v>
      </x:c>
      <x:c r="C27" s="18" t="n">
        <x:v>2024</x:v>
      </x:c>
      <x:c r="D27" s="14" t="str">
        <x:v>almennt fyrra almanaksár</x:v>
      </x:c>
      <x:c r="E27" s="14" t="str">
        <x:v>EUR</x:v>
      </x:c>
      <x:c r="F27" s="14" t="str">
        <x:v>MED_EI</x:v>
      </x:c>
      <x:c r="G27" s="14" t="str">
        <x:v>TOTAL</x:v>
      </x:c>
      <x:c r="H27" s="14" t="str">
        <x:v>T</x:v>
      </x:c>
      <x:c r="I27" s="20" t="n">
        <x:v>40432</x:v>
      </x:c>
      <x:c r="J27" s="14" t="str"/>
    </x:row>
    <x:row r="28">
      <x:c r="A28" s="14" t="str">
        <x:v>PL</x:v>
      </x:c>
      <x:c r="B28" s="14" t="str">
        <x:v>Pólland</x:v>
      </x:c>
      <x:c r="C28" s="18" t="n">
        <x:v>2024</x:v>
      </x:c>
      <x:c r="D28" s="14" t="str">
        <x:v>almennt fyrra almanaksár</x:v>
      </x:c>
      <x:c r="E28" s="14" t="str">
        <x:v>EUR</x:v>
      </x:c>
      <x:c r="F28" s="14" t="str">
        <x:v>MED_EI</x:v>
      </x:c>
      <x:c r="G28" s="14" t="str">
        <x:v>TOTAL</x:v>
      </x:c>
      <x:c r="H28" s="14" t="str">
        <x:v>T</x:v>
      </x:c>
      <x:c r="I28" s="20" t="n">
        <x:v>11921</x:v>
      </x:c>
      <x:c r="J28" s="14" t="str"/>
    </x:row>
    <x:row r="29">
      <x:c r="A29" s="14" t="str">
        <x:v>PT</x:v>
      </x:c>
      <x:c r="B29" s="14" t="str">
        <x:v>Portúgal</x:v>
      </x:c>
      <x:c r="C29" s="18" t="n">
        <x:v>2024</x:v>
      </x:c>
      <x:c r="D29" s="14" t="str">
        <x:v>almennt fyrra almanaksár</x:v>
      </x:c>
      <x:c r="E29" s="14" t="str">
        <x:v>EUR</x:v>
      </x:c>
      <x:c r="F29" s="14" t="str">
        <x:v>MED_EI</x:v>
      </x:c>
      <x:c r="G29" s="14" t="str">
        <x:v>TOTAL</x:v>
      </x:c>
      <x:c r="H29" s="14" t="str">
        <x:v>T</x:v>
      </x:c>
      <x:c r="I29" s="20" t="n">
        <x:v>12646</x:v>
      </x:c>
      <x:c r="J29" s="14" t="str"/>
    </x:row>
    <x:row r="30">
      <x:c r="A30" s="14" t="str">
        <x:v>RO</x:v>
      </x:c>
      <x:c r="B30" s="14" t="str">
        <x:v>Rúmenía</x:v>
      </x:c>
      <x:c r="C30" s="18" t="n">
        <x:v>2024</x:v>
      </x:c>
      <x:c r="D30" s="14" t="str">
        <x:v>almennt fyrra almanaksár</x:v>
      </x:c>
      <x:c r="E30" s="14" t="str">
        <x:v>EUR</x:v>
      </x:c>
      <x:c r="F30" s="14" t="str">
        <x:v>MED_EI</x:v>
      </x:c>
      <x:c r="G30" s="14" t="str">
        <x:v>TOTAL</x:v>
      </x:c>
      <x:c r="H30" s="14" t="str">
        <x:v>T</x:v>
      </x:c>
      <x:c r="I30" s="20" t="n">
        <x:v>7837</x:v>
      </x:c>
      <x:c r="J30" s="14" t="str"/>
    </x:row>
    <x:row r="31">
      <x:c r="A31" s="14" t="str">
        <x:v>SE</x:v>
      </x:c>
      <x:c r="B31" s="14" t="str">
        <x:v>Svíþjóð</x:v>
      </x:c>
      <x:c r="C31" s="18" t="n">
        <x:v>2024</x:v>
      </x:c>
      <x:c r="D31" s="14" t="str">
        <x:v>almennt fyrra almanaksár</x:v>
      </x:c>
      <x:c r="E31" s="14" t="str">
        <x:v>EUR</x:v>
      </x:c>
      <x:c r="F31" s="14" t="str">
        <x:v>MED_EI</x:v>
      </x:c>
      <x:c r="G31" s="14" t="str">
        <x:v>TOTAL</x:v>
      </x:c>
      <x:c r="H31" s="14" t="str">
        <x:v>T</x:v>
      </x:c>
      <x:c r="I31" s="20" t="n">
        <x:v>26915</x:v>
      </x:c>
      <x:c r="J31" s="14" t="str"/>
    </x:row>
    <x:row r="32">
      <x:c r="A32" s="14" t="str">
        <x:v>SI</x:v>
      </x:c>
      <x:c r="B32" s="14" t="str">
        <x:v>Slóvenía</x:v>
      </x:c>
      <x:c r="C32" s="18" t="n">
        <x:v>2024</x:v>
      </x:c>
      <x:c r="D32" s="14" t="str">
        <x:v>almennt fyrra almanaksár</x:v>
      </x:c>
      <x:c r="E32" s="14" t="str">
        <x:v>EUR</x:v>
      </x:c>
      <x:c r="F32" s="14" t="str">
        <x:v>MED_EI</x:v>
      </x:c>
      <x:c r="G32" s="14" t="str">
        <x:v>TOTAL</x:v>
      </x:c>
      <x:c r="H32" s="14" t="str">
        <x:v>T</x:v>
      </x:c>
      <x:c r="I32" s="20" t="n">
        <x:v>19620</x:v>
      </x:c>
      <x:c r="J32" s="14" t="str"/>
    </x:row>
    <x:row r="33">
      <x:c r="A33" s="14" t="str">
        <x:v>SK</x:v>
      </x:c>
      <x:c r="B33" s="14" t="str">
        <x:v>Slóvakía</x:v>
      </x:c>
      <x:c r="C33" s="18" t="n">
        <x:v>2024</x:v>
      </x:c>
      <x:c r="D33" s="14" t="str">
        <x:v>almennt fyrra almanaksár</x:v>
      </x:c>
      <x:c r="E33" s="14" t="str">
        <x:v>EUR</x:v>
      </x:c>
      <x:c r="F33" s="14" t="str">
        <x:v>MED_EI</x:v>
      </x:c>
      <x:c r="G33" s="14" t="str">
        <x:v>TOTAL</x:v>
      </x:c>
      <x:c r="H33" s="14" t="str">
        <x:v>T</x:v>
      </x:c>
      <x:c r="I33" s="20" t="n">
        <x:v>10171</x:v>
      </x:c>
      <x:c r="J33" s="14" t="str"/>
    </x:row>
    <x:row r="34">
      <x:c r="A34" s="14" t="str">
        <x:v>IS</x:v>
      </x:c>
      <x:c r="B34" s="14" t="str">
        <x:v>Ísland</x:v>
      </x:c>
      <x:c r="C34" s="18" t="n">
        <x:v>2020</x:v>
      </x:c>
      <x:c r="D34" s="14" t="str">
        <x:v>almennt 2019</x:v>
      </x:c>
      <x:c r="E34" s="14" t="str">
        <x:v>EUR</x:v>
      </x:c>
      <x:c r="F34" s="14" t="str">
        <x:v>MED_EI</x:v>
      </x:c>
      <x:c r="G34" s="14" t="str">
        <x:v>TOTAL</x:v>
      </x:c>
      <x:c r="H34" s="14" t="str">
        <x:v>T</x:v>
      </x:c>
      <x:c r="I34" s="20" t="n">
        <x:v>35934</x:v>
      </x:c>
      <x:c r="J34" s="14" t="str"/>
    </x:row>
    <x:row r="35">
      <x:c r="A35" s="14" t="str">
        <x:v>IS</x:v>
      </x:c>
      <x:c r="B35" s="14" t="str">
        <x:v>Ísland</x:v>
      </x:c>
      <x:c r="C35" s="18" t="n">
        <x:v>2020</x:v>
      </x:c>
      <x:c r="D35" s="14" t="str">
        <x:v>almennt 2019</x:v>
      </x:c>
      <x:c r="E35" s="14" t="str">
        <x:v>NAC</x:v>
      </x:c>
      <x:c r="F35" s="14" t="str">
        <x:v>MED_EI</x:v>
      </x:c>
      <x:c r="G35" s="14" t="str">
        <x:v>TOTAL</x:v>
      </x:c>
      <x:c r="H35" s="14" t="str">
        <x:v>T</x:v>
      </x:c>
      <x:c r="I35" s="20" t="n">
        <x:v>4933016</x:v>
      </x:c>
      <x:c r="J35" s="14" t="str"/>
    </x:row>
    <x:row r="36">
      <x:c r="A36" s="14" t="str">
        <x:v>IS</x:v>
      </x:c>
      <x:c r="B36" s="14" t="str">
        <x:v>Ísland</x:v>
      </x:c>
      <x:c r="C36" s="18" t="n">
        <x:v>2020</x:v>
      </x:c>
      <x:c r="D36" s="14" t="str">
        <x:v>almennt 2019</x:v>
      </x:c>
      <x:c r="E36" s="14" t="str">
        <x:v>PPS</x:v>
      </x:c>
      <x:c r="F36" s="14" t="str">
        <x:v>MED_EI</x:v>
      </x:c>
      <x:c r="G36" s="14" t="str">
        <x:v>TOTAL</x:v>
      </x:c>
      <x:c r="H36" s="14" t="str">
        <x:v>T</x:v>
      </x:c>
      <x:c r="I36" s="20" t="n">
        <x:v>22645</x:v>
      </x:c>
      <x:c r="J36" s="14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8" hidden="0" customWidth="1"/>
    <x:col min="3" max="3" width="14" hidden="0" customWidth="1"/>
    <x:col min="4" max="4" width="34" hidden="0" customWidth="1"/>
    <x:col min="5" max="5" width="52" hidden="0" customWidth="1"/>
  </x:cols>
  <x:sheetData>
    <x:row r="1" ht="30" customHeight="1">
      <x:c r="A1" s="3" t="str">
        <x:v>Framreikningur Íslands</x:v>
      </x:c>
      <x:c r="B1" s="3" t="str">
        <x:v>Framreikningur Íslands</x:v>
      </x:c>
      <x:c r="C1" s="3" t="str">
        <x:v>Framreikningur Íslands</x:v>
      </x:c>
      <x:c r="D1" s="3" t="str">
        <x:v>Framreikningur Íslands</x:v>
      </x:c>
      <x:c r="E1" s="3" t="str">
        <x:v>Framreikningur Íslands</x:v>
      </x:c>
    </x:row>
    <x:row r="2" ht="32" customHeight="1">
      <x:c r="A2" s="7" t="str">
        <x:v>Endurgerð birtu talnanna og samanburður við vöxt á mann</x:v>
      </x:c>
      <x:c r="B2" s="7" t="str">
        <x:v>Endurgerð birtu talnanna og samanburður við vöxt á mann</x:v>
      </x:c>
      <x:c r="C2" s="7" t="str">
        <x:v>Endurgerð birtu talnanna og samanburður við vöxt á mann</x:v>
      </x:c>
      <x:c r="D2" s="7" t="str">
        <x:v>Endurgerð birtu talnanna og samanburður við vöxt á mann</x:v>
      </x:c>
      <x:c r="E2" s="7" t="str">
        <x:v>Endurgerð birtu talnanna og samanburður við vöxt á mann</x:v>
      </x:c>
    </x:row>
    <x:row r="4">
      <x:c r="A4" s="12" t="str">
        <x:v>Liður</x:v>
      </x:c>
      <x:c r="B4" s="12" t="str">
        <x:v>Gildi</x:v>
      </x:c>
      <x:c r="C4" s="12" t="str">
        <x:v>Eining</x:v>
      </x:c>
      <x:c r="D4" s="12" t="str">
        <x:v>Röð</x:v>
      </x:c>
      <x:c r="E4" s="12" t="str">
        <x:v>Athugasemd</x:v>
      </x:c>
    </x:row>
    <x:row r="5">
      <x:c r="A5" s="17" t="str">
        <x:v>SILC-miðgildi Íslands</x:v>
      </x:c>
      <x:c r="B5" s="31" t="n">
        <x:v>4933016</x:v>
      </x:c>
      <x:c r="C5" s="16" t="str">
        <x:v>ISK</x:v>
      </x:c>
      <x:c r="D5" s="16" t="str">
        <x:v>ilc_di03 time=2020, MED_EI, NAC</x:v>
      </x:c>
      <x:c r="E5" s="16" t="str">
        <x:v>Könnunarár 2020; tekjuviðmið almennt 2019</x:v>
      </x:c>
    </x:row>
    <x:row r="6">
      <x:c r="A6" s="17" t="str">
        <x:v>Heildarráðstöfunartekjur heimila 2020</x:v>
      </x:c>
      <x:c r="B6" s="31" t="n">
        <x:v>1544765.94</x:v>
      </x:c>
      <x:c r="C6" s="16" t="str">
        <x:v>m.kr.</x:v>
      </x:c>
      <x:c r="D6" s="16" t="str">
        <x:v>PrrvG, B6G/S.14</x:v>
      </x:c>
      <x:c r="E6" s="16" t="str">
        <x:v>Bráðabirgðavintage 4.4.2025</x:v>
      </x:c>
    </x:row>
    <x:row r="7">
      <x:c r="A7" s="17" t="str">
        <x:v>Heildarráðstöfunartekjur heimila 2024</x:v>
      </x:c>
      <x:c r="B7" s="31" t="n">
        <x:v>2425484.373</x:v>
      </x:c>
      <x:c r="C7" s="16" t="str">
        <x:v>m.kr.</x:v>
      </x:c>
      <x:c r="D7" s="16" t="str">
        <x:v>PrrvG, B6G/S.14</x:v>
      </x:c>
      <x:c r="E7" s="16" t="str">
        <x:v>Bráðabirgðavintage 4.4.2025</x:v>
      </x:c>
    </x:row>
    <x:row r="8">
      <x:c r="A8" s="17" t="str">
        <x:v>Vaxtastuðull heildartekna</x:v>
      </x:c>
      <x:c r="B8" s="32" t="n">
        <x:f>B7/B6</x:f>
        <x:v>1.5701306652320417</x:v>
      </x:c>
      <x:c r="C8" s="16" t="str">
        <x:v>hlutfall</x:v>
      </x:c>
      <x:c r="D8" s="16" t="str">
        <x:v>2024 / 2020</x:v>
      </x:c>
      <x:c r="E8" s="16" t="str">
        <x:v>Notaður á glærunni</x:v>
      </x:c>
    </x:row>
    <x:row r="9">
      <x:c r="A9" s="17" t="str">
        <x:v>Meðalgengi evru</x:v>
      </x:c>
      <x:c r="B9" s="31" t="n">
        <x:v>149.3103212851404</x:v>
      </x:c>
      <x:c r="C9" s="16" t="str">
        <x:v>ISK/EUR</x:v>
      </x:c>
      <x:c r="D9" s="16" t="str">
        <x:v>SÍ 4064</x:v>
      </x:c>
      <x:c r="E9" s="16" t="str">
        <x:v>249 skráningardagar</x:v>
      </x:c>
    </x:row>
    <x:row r="10">
      <x:c r="A10" s="17" t="str">
        <x:v>Framreiknað miðgildi Íslands</x:v>
      </x:c>
      <x:c r="B10" s="31" t="n">
        <x:f>B5*B8/B9</x:f>
        <x:v>51875.045388782164</x:v>
      </x:c>
      <x:c r="C10" s="16" t="str">
        <x:v>EUR</x:v>
      </x:c>
      <x:c r="D10" s="16" t="str">
        <x:v>grunnur × vöxtur / gengi</x:v>
      </x:c>
      <x:c r="E10" s="16" t="str">
        <x:v>Nefnari endurgerðarinnar</x:v>
      </x:c>
    </x:row>
    <x:row r="11">
      <x:c r="A11" s="17" t="str">
        <x:v>Miðgildi ESB-27</x:v>
      </x:c>
      <x:c r="B11" s="31" t="n">
        <x:v>21582</x:v>
      </x:c>
      <x:c r="C11" s="16" t="str">
        <x:v>EUR</x:v>
      </x:c>
      <x:c r="D11" s="16" t="str">
        <x:v>ilc_di03 time=2024</x:v>
      </x:c>
      <x:c r="E11" s="16" t="str">
        <x:v>Tekjuviðmið almennt 2023</x:v>
      </x:c>
    </x:row>
    <x:row r="12">
      <x:c r="A12" s="17" t="str">
        <x:v>Tekjuhlutfall Ísland / ESB</x:v>
      </x:c>
      <x:c r="B12" s="32" t="n">
        <x:f>B10/B11</x:f>
        <x:v>2.4036254929470005</x:v>
      </x:c>
      <x:c r="C12" s="16" t="str">
        <x:v>hlutfall</x:v>
      </x:c>
      <x:c r="D12" s="16" t="str">
        <x:v>IS / ESB</x:v>
      </x:c>
      <x:c r="E12" s="16" t="str"/>
    </x:row>
    <x:row r="13">
      <x:c r="A13" s="17" t="str">
        <x:v>A01-verðvísir Íslands</x:v>
      </x:c>
      <x:c r="B13" s="31" t="n">
        <x:v>172.7</x:v>
      </x:c>
      <x:c r="C13" s="16" t="str">
        <x:v>ESB=100</x:v>
      </x:c>
      <x:c r="D13" s="16" t="str">
        <x:v>prc_ppp_ind A01</x:v>
      </x:c>
      <x:c r="E13" s="16" t="str">
        <x:v>Einstaklingsbundin neysla</x:v>
      </x:c>
    </x:row>
    <x:row r="14">
      <x:c r="A14" s="17" t="str">
        <x:v>Tekjuleiðrétt A01-gildi</x:v>
      </x:c>
      <x:c r="B14" s="33" t="n">
        <x:f>B13/B12</x:f>
        <x:v>71.84979544723443</x:v>
      </x:c>
      <x:c r="C14" s="16" t="str">
        <x:v>ESB=100</x:v>
      </x:c>
      <x:c r="D14" s="16" t="str">
        <x:v>PLI / tekjuhlutfall</x:v>
      </x:c>
      <x:c r="E14" s="16" t="str">
        <x:v>Birt sem 72 á glærunni</x:v>
      </x:c>
    </x:row>
    <x:row r="15">
      <x:c r="A15" s="17" t="str">
        <x:v>E011-verðvísir Íslands</x:v>
      </x:c>
      <x:c r="B15" s="31" t="n">
        <x:v>161.7</x:v>
      </x:c>
      <x:c r="C15" s="16" t="str">
        <x:v>ESB=100</x:v>
      </x:c>
      <x:c r="D15" s="16" t="str">
        <x:v>prc_ppp_ind E011</x:v>
      </x:c>
      <x:c r="E15" s="16" t="str">
        <x:v>Einkaneysluútgjöld heimila; birt 161,7 hægra megin</x:v>
      </x:c>
    </x:row>
    <x:row r="16">
      <x:c r="A16" s="17" t="str"/>
      <x:c r="B16" s="31"/>
      <x:c r="C16" s="16" t="str"/>
      <x:c r="D16" s="16" t="str"/>
      <x:c r="E16" s="16" t="str"/>
    </x:row>
    <x:row r="17">
      <x:c r="A17" s="34" t="str">
        <x:v>Ráðstöfunartekjur á mann 2020</x:v>
      </x:c>
      <x:c r="B17" s="35" t="n">
        <x:v>4347.207182</x:v>
      </x:c>
      <x:c r="C17" s="36" t="str">
        <x:v>þús. kr.</x:v>
      </x:c>
      <x:c r="D17" s="36" t="str">
        <x:v>PrrvG</x:v>
      </x:c>
      <x:c r="E17" s="36" t="str"/>
    </x:row>
    <x:row r="18">
      <x:c r="A18" s="34" t="str">
        <x:v>Ráðstöfunartekjur á mann 2024</x:v>
      </x:c>
      <x:c r="B18" s="35" t="n">
        <x:v>6284.349814</x:v>
      </x:c>
      <x:c r="C18" s="36" t="str">
        <x:v>þús. kr.</x:v>
      </x:c>
      <x:c r="D18" s="36" t="str">
        <x:v>PrrvG</x:v>
      </x:c>
      <x:c r="E18" s="36" t="str"/>
    </x:row>
    <x:row r="19">
      <x:c r="A19" s="34" t="str">
        <x:v>Vaxtastuðull tekna á mann</x:v>
      </x:c>
      <x:c r="B19" s="37" t="n">
        <x:f>B18/B17</x:f>
        <x:v>1.4456062365789495</x:v>
      </x:c>
      <x:c r="C19" s="36" t="str">
        <x:v>hlutfall</x:v>
      </x:c>
      <x:c r="D19" s="36" t="str">
        <x:v>2024 / 2020</x:v>
      </x:c>
      <x:c r="E19" s="36" t="str">
        <x:v>Næmnipróf án mannfjöldaáhrifa; meðaltal þjóðhagsreikninga er ekki SILC-miðgildi</x:v>
      </x:c>
    </x:row>
    <x:row r="20">
      <x:c r="A20" s="34" t="str">
        <x:v>Framreiknað með vexti á mann</x:v>
      </x:c>
      <x:c r="B20" s="35" t="n">
        <x:f>B5*B19/B9</x:f>
        <x:v>47760.92257631122</x:v>
      </x:c>
      <x:c r="C20" s="36" t="str">
        <x:v>EUR</x:v>
      </x:c>
      <x:c r="D20" s="36" t="str">
        <x:v>grunnur × vöxtur á mann / gengi</x:v>
      </x:c>
      <x:c r="E20" s="36" t="str"/>
    </x:row>
    <x:row r="21">
      <x:c r="A21" s="34" t="str">
        <x:v>A01 með vexti á mann</x:v>
      </x:c>
      <x:c r="B21" s="38" t="n">
        <x:f>B13/(B20/B11)</x:f>
        <x:v>78.03893222633532</x:v>
      </x:c>
      <x:c r="C21" s="36" t="str">
        <x:v>ESB=100</x:v>
      </x:c>
      <x:c r="D21" s="36" t="str">
        <x:v>PLI / tekjuhlutfall</x:v>
      </x:c>
      <x:c r="E21" s="36" t="str">
        <x:v>Um 78 í stað 72</x:v>
      </x:c>
    </x:row>
    <x:row r="22">
      <x:c r="A22" s="34" t="str">
        <x:v>Heildarvöxtur umfram vöxt á mann</x:v>
      </x:c>
      <x:c r="B22" s="39" t="n">
        <x:f>B8/B19-1</x:f>
        <x:v>0.08613993596747438</x:v>
      </x:c>
      <x:c r="C22" s="36" t="str">
        <x:v>hlutfall</x:v>
      </x:c>
      <x:c r="D22" s="36" t="str">
        <x:v>heildarvöxtur / vöxtur á mann - 1</x:v>
      </x:c>
      <x:c r="E22" s="36" t="str">
        <x:v>8,6%; næmnipróf, ekki leiðrétt SILC-miðgildi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13" hidden="0" customWidth="1"/>
    <x:col min="4" max="4" width="26" hidden="0" customWidth="1"/>
    <x:col min="5" max="5" width="26" hidden="0" customWidth="1"/>
    <x:col min="6" max="6" width="42" hidden="0" customWidth="1"/>
    <x:col min="7" max="7" width="14" hidden="0" customWidth="1"/>
    <x:col min="8" max="8" width="14" hidden="0" customWidth="1"/>
  </x:cols>
  <x:sheetData>
    <x:row r="1" ht="30" customHeight="1">
      <x:c r="A1" s="3" t="str">
        <x:v>Inntak Myndar 2</x:v>
      </x:c>
      <x:c r="B1" s="3" t="str">
        <x:v>Inntak Myndar 2</x:v>
      </x:c>
      <x:c r="C1" s="3" t="str">
        <x:v>Inntak Myndar 2</x:v>
      </x:c>
      <x:c r="D1" s="3" t="str">
        <x:v>Inntak Myndar 2</x:v>
      </x:c>
      <x:c r="E1" s="3" t="str">
        <x:v>Inntak Myndar 2</x:v>
      </x:c>
      <x:c r="F1" s="3" t="str">
        <x:v>Inntak Myndar 2</x:v>
      </x:c>
      <x:c r="G1" s="3" t="str">
        <x:v>Inntak Myndar 2</x:v>
      </x:c>
      <x:c r="H1" s="3" t="str">
        <x:v>Inntak Myndar 2</x:v>
      </x:c>
    </x:row>
    <x:row r="2" ht="32" customHeight="1">
      <x:c r="A2" s="7" t="str">
        <x:v>Stöðug gildi; bæði núverandi tekjugildi og gagnaútgáfa endurgerðar eru sýnileg</x:v>
      </x:c>
      <x:c r="B2" s="7" t="str">
        <x:v>Stöðug gildi; bæði núverandi tekjugildi og gagnaútgáfa endurgerðar eru sýnileg</x:v>
      </x:c>
      <x:c r="C2" s="7" t="str">
        <x:v>Stöðug gildi; bæði núverandi tekjugildi og gagnaútgáfa endurgerðar eru sýnileg</x:v>
      </x:c>
      <x:c r="D2" s="7" t="str">
        <x:v>Stöðug gildi; bæði núverandi tekjugildi og gagnaútgáfa endurgerðar eru sýnileg</x:v>
      </x:c>
      <x:c r="E2" s="7" t="str">
        <x:v>Stöðug gildi; bæði núverandi tekjugildi og gagnaútgáfa endurgerðar eru sýnileg</x:v>
      </x:c>
      <x:c r="F2" s="7" t="str">
        <x:v>Stöðug gildi; bæði núverandi tekjugildi og gagnaútgáfa endurgerðar eru sýnileg</x:v>
      </x:c>
      <x:c r="G2" s="7" t="str">
        <x:v>Stöðug gildi; bæði núverandi tekjugildi og gagnaútgáfa endurgerðar eru sýnileg</x:v>
      </x:c>
      <x:c r="H2" s="7" t="str">
        <x:v>Stöðug gildi; bæði núverandi tekjugildi og gagnaútgáfa endurgerðar eru sýnileg</x:v>
      </x:c>
    </x:row>
    <x:row r="4">
      <x:c r="A4" s="12" t="str">
        <x:v>geo</x:v>
      </x:c>
      <x:c r="B4" s="12" t="str">
        <x:v>land</x:v>
      </x:c>
      <x:c r="C4" s="12" t="str">
        <x:v>hlutverk</x:v>
      </x:c>
      <x:c r="D4" s="12" t="str">
        <x:v>midgildi_tekna_replik_eur</x:v>
      </x:c>
      <x:c r="E4" s="12" t="str">
        <x:v>midgildi_tekna_nuverandi_eur</x:v>
      </x:c>
      <x:c r="F4" s="12" t="str">
        <x:v>tekjuheimild_replik</x:v>
      </x:c>
      <x:c r="G4" s="12" t="str">
        <x:v>pli_A01</x:v>
      </x:c>
      <x:c r="H4" s="12" t="str">
        <x:v>pli_E011</x:v>
      </x:c>
    </x:row>
    <x:row r="5">
      <x:c r="A5" s="14" t="str">
        <x:v>BE</x:v>
      </x:c>
      <x:c r="B5" s="14" t="str">
        <x:v>Belgía</x:v>
      </x:c>
      <x:c r="C5" s="14" t="str">
        <x:v>land</x:v>
      </x:c>
      <x:c r="D5" s="21" t="n">
        <x:v>30446</x:v>
      </x:c>
      <x:c r="E5" s="21" t="n">
        <x:v>30446</x:v>
      </x:c>
      <x:c r="F5" s="14" t="str">
        <x:v>frosið frumgildi/framreikningur Íslands</x:v>
      </x:c>
      <x:c r="G5" s="19" t="n">
        <x:v>118.7</x:v>
      </x:c>
      <x:c r="H5" s="19" t="n">
        <x:v>116.5</x:v>
      </x:c>
    </x:row>
    <x:row r="6">
      <x:c r="A6" s="14" t="str">
        <x:v>BG</x:v>
      </x:c>
      <x:c r="B6" s="14" t="str">
        <x:v>Búlgaría</x:v>
      </x:c>
      <x:c r="C6" s="14" t="str">
        <x:v>land</x:v>
      </x:c>
      <x:c r="D6" s="21" t="n">
        <x:v>7811</x:v>
      </x:c>
      <x:c r="E6" s="21" t="n">
        <x:v>7811</x:v>
      </x:c>
      <x:c r="F6" s="14" t="str">
        <x:v>frosið frumgildi/framreikningur Íslands</x:v>
      </x:c>
      <x:c r="G6" s="19" t="n">
        <x:v>56.9</x:v>
      </x:c>
      <x:c r="H6" s="19" t="n">
        <x:v>59.7</x:v>
      </x:c>
    </x:row>
    <x:row r="7">
      <x:c r="A7" s="14" t="str">
        <x:v>CZ</x:v>
      </x:c>
      <x:c r="B7" s="14" t="str">
        <x:v>Tékkland</x:v>
      </x:c>
      <x:c r="C7" s="14" t="str">
        <x:v>land</x:v>
      </x:c>
      <x:c r="D7" s="21" t="n">
        <x:v>15133</x:v>
      </x:c>
      <x:c r="E7" s="21" t="n">
        <x:v>15133</x:v>
      </x:c>
      <x:c r="F7" s="14" t="str">
        <x:v>frosið frumgildi/framreikningur Íslands</x:v>
      </x:c>
      <x:c r="G7" s="19" t="n">
        <x:v>80.2</x:v>
      </x:c>
      <x:c r="H7" s="19" t="n">
        <x:v>88.4</x:v>
      </x:c>
    </x:row>
    <x:row r="8">
      <x:c r="A8" s="14" t="str">
        <x:v>DK</x:v>
      </x:c>
      <x:c r="B8" s="14" t="str">
        <x:v>Danmörk</x:v>
      </x:c>
      <x:c r="C8" s="14" t="str">
        <x:v>land</x:v>
      </x:c>
      <x:c r="D8" s="21" t="n">
        <x:v>34843</x:v>
      </x:c>
      <x:c r="E8" s="21" t="n">
        <x:v>34843</x:v>
      </x:c>
      <x:c r="F8" s="14" t="str">
        <x:v>frosið frumgildi/framreikningur Íslands</x:v>
      </x:c>
      <x:c r="G8" s="19" t="n">
        <x:v>142.8</x:v>
      </x:c>
      <x:c r="H8" s="19" t="n">
        <x:v>143.1</x:v>
      </x:c>
    </x:row>
    <x:row r="9">
      <x:c r="A9" s="14" t="str">
        <x:v>DE</x:v>
      </x:c>
      <x:c r="B9" s="14" t="str">
        <x:v>Þýskaland</x:v>
      </x:c>
      <x:c r="C9" s="14" t="str">
        <x:v>land</x:v>
      </x:c>
      <x:c r="D9" s="21" t="n">
        <x:v>27619</x:v>
      </x:c>
      <x:c r="E9" s="21" t="n">
        <x:v>27619</x:v>
      </x:c>
      <x:c r="F9" s="14" t="str">
        <x:v>frosið frumgildi/framreikningur Íslands</x:v>
      </x:c>
      <x:c r="G9" s="19" t="n">
        <x:v>109.1</x:v>
      </x:c>
      <x:c r="H9" s="19" t="n">
        <x:v>108.6</x:v>
      </x:c>
    </x:row>
    <x:row r="10">
      <x:c r="A10" s="14" t="str">
        <x:v>EE</x:v>
      </x:c>
      <x:c r="B10" s="14" t="str">
        <x:v>Eistland</x:v>
      </x:c>
      <x:c r="C10" s="14" t="str">
        <x:v>land</x:v>
      </x:c>
      <x:c r="D10" s="21" t="n">
        <x:v>16140</x:v>
      </x:c>
      <x:c r="E10" s="21" t="n">
        <x:v>16140</x:v>
      </x:c>
      <x:c r="F10" s="14" t="str">
        <x:v>frosið frumgildi/framreikningur Íslands</x:v>
      </x:c>
      <x:c r="G10" s="19" t="n">
        <x:v>96.5</x:v>
      </x:c>
      <x:c r="H10" s="19" t="n">
        <x:v>100</x:v>
      </x:c>
    </x:row>
    <x:row r="11">
      <x:c r="A11" s="14" t="str">
        <x:v>IE</x:v>
      </x:c>
      <x:c r="B11" s="14" t="str">
        <x:v>Írland</x:v>
      </x:c>
      <x:c r="C11" s="14" t="str">
        <x:v>land</x:v>
      </x:c>
      <x:c r="D11" s="21" t="n">
        <x:v>33013</x:v>
      </x:c>
      <x:c r="E11" s="21" t="n">
        <x:v>33013</x:v>
      </x:c>
      <x:c r="F11" s="14" t="str">
        <x:v>frosið frumgildi/framreikningur Íslands</x:v>
      </x:c>
      <x:c r="G11" s="19" t="n">
        <x:v>141.2</x:v>
      </x:c>
      <x:c r="H11" s="19" t="n">
        <x:v>138.1</x:v>
      </x:c>
    </x:row>
    <x:row r="12">
      <x:c r="A12" s="14" t="str">
        <x:v>EL</x:v>
      </x:c>
      <x:c r="B12" s="14" t="str">
        <x:v>Grikkland</x:v>
      </x:c>
      <x:c r="C12" s="14" t="str">
        <x:v>land</x:v>
      </x:c>
      <x:c r="D12" s="21" t="n">
        <x:v>10850</x:v>
      </x:c>
      <x:c r="E12" s="21" t="n">
        <x:v>10850</x:v>
      </x:c>
      <x:c r="F12" s="14" t="str">
        <x:v>frosið frumgildi/framreikningur Íslands</x:v>
      </x:c>
      <x:c r="G12" s="19" t="n">
        <x:v>83</x:v>
      </x:c>
      <x:c r="H12" s="19" t="n">
        <x:v>86</x:v>
      </x:c>
    </x:row>
    <x:row r="13">
      <x:c r="A13" s="14" t="str">
        <x:v>ES</x:v>
      </x:c>
      <x:c r="B13" s="14" t="str">
        <x:v>Spánn</x:v>
      </x:c>
      <x:c r="C13" s="14" t="str">
        <x:v>land</x:v>
      </x:c>
      <x:c r="D13" s="21" t="n">
        <x:v>19307</x:v>
      </x:c>
      <x:c r="E13" s="21" t="n">
        <x:v>19307</x:v>
      </x:c>
      <x:c r="F13" s="14" t="str">
        <x:v>frosið frumgildi/framreikningur Íslands</x:v>
      </x:c>
      <x:c r="G13" s="19" t="n">
        <x:v>90.7</x:v>
      </x:c>
      <x:c r="H13" s="19" t="n">
        <x:v>90.9</x:v>
      </x:c>
    </x:row>
    <x:row r="14">
      <x:c r="A14" s="14" t="str">
        <x:v>FR</x:v>
      </x:c>
      <x:c r="B14" s="14" t="str">
        <x:v>Frakkland</x:v>
      </x:c>
      <x:c r="C14" s="14" t="str">
        <x:v>land</x:v>
      </x:c>
      <x:c r="D14" s="21" t="n">
        <x:v>25557</x:v>
      </x:c>
      <x:c r="E14" s="21" t="n">
        <x:v>25557</x:v>
      </x:c>
      <x:c r="F14" s="14" t="str">
        <x:v>frosið frumgildi/framreikningur Íslands</x:v>
      </x:c>
      <x:c r="G14" s="19" t="n">
        <x:v>107.9</x:v>
      </x:c>
      <x:c r="H14" s="19" t="n">
        <x:v>111.2</x:v>
      </x:c>
    </x:row>
    <x:row r="15">
      <x:c r="A15" s="14" t="str">
        <x:v>HR</x:v>
      </x:c>
      <x:c r="B15" s="14" t="str">
        <x:v>Króatía</x:v>
      </x:c>
      <x:c r="C15" s="14" t="str">
        <x:v>land</x:v>
      </x:c>
      <x:c r="D15" s="21" t="n">
        <x:v>12344</x:v>
      </x:c>
      <x:c r="E15" s="21" t="n">
        <x:v>12344</x:v>
      </x:c>
      <x:c r="F15" s="14" t="str">
        <x:v>frosið frumgildi/framreikningur Íslands</x:v>
      </x:c>
      <x:c r="G15" s="19" t="n">
        <x:v>73.3</x:v>
      </x:c>
      <x:c r="H15" s="19" t="n">
        <x:v>76.3</x:v>
      </x:c>
    </x:row>
    <x:row r="16">
      <x:c r="A16" s="14" t="str">
        <x:v>IT</x:v>
      </x:c>
      <x:c r="B16" s="14" t="str">
        <x:v>Ítalía</x:v>
      </x:c>
      <x:c r="C16" s="14" t="str">
        <x:v>land</x:v>
      </x:c>
      <x:c r="D16" s="21" t="n">
        <x:v>20605</x:v>
      </x:c>
      <x:c r="E16" s="21" t="n">
        <x:v>20605</x:v>
      </x:c>
      <x:c r="F16" s="14" t="str">
        <x:v>frosið frumgildi/framreikningur Íslands</x:v>
      </x:c>
      <x:c r="G16" s="19" t="n">
        <x:v>98.1</x:v>
      </x:c>
      <x:c r="H16" s="19" t="n">
        <x:v>97.5</x:v>
      </x:c>
    </x:row>
    <x:row r="17">
      <x:c r="A17" s="14" t="str">
        <x:v>CY</x:v>
      </x:c>
      <x:c r="B17" s="14" t="str">
        <x:v>Kýpur</x:v>
      </x:c>
      <x:c r="C17" s="14" t="str">
        <x:v>land</x:v>
      </x:c>
      <x:c r="D17" s="21" t="n">
        <x:v>20666</x:v>
      </x:c>
      <x:c r="E17" s="21" t="n">
        <x:v>20666</x:v>
      </x:c>
      <x:c r="F17" s="14" t="str">
        <x:v>frosið frumgildi/framreikningur Íslands</x:v>
      </x:c>
      <x:c r="G17" s="19" t="n">
        <x:v>95.1</x:v>
      </x:c>
      <x:c r="H17" s="19" t="n">
        <x:v>92.8</x:v>
      </x:c>
    </x:row>
    <x:row r="18">
      <x:c r="A18" s="14" t="str">
        <x:v>LV</x:v>
      </x:c>
      <x:c r="B18" s="14" t="str">
        <x:v>Lettland</x:v>
      </x:c>
      <x:c r="C18" s="14" t="str">
        <x:v>land</x:v>
      </x:c>
      <x:c r="D18" s="21" t="n">
        <x:v>12821</x:v>
      </x:c>
      <x:c r="E18" s="21" t="n">
        <x:v>12821</x:v>
      </x:c>
      <x:c r="F18" s="14" t="str">
        <x:v>frosið frumgildi/framreikningur Íslands</x:v>
      </x:c>
      <x:c r="G18" s="19" t="n">
        <x:v>77.2</x:v>
      </x:c>
      <x:c r="H18" s="19" t="n">
        <x:v>81.8</x:v>
      </x:c>
    </x:row>
    <x:row r="19">
      <x:c r="A19" s="14" t="str">
        <x:v>LT</x:v>
      </x:c>
      <x:c r="B19" s="14" t="str">
        <x:v>Litháen</x:v>
      </x:c>
      <x:c r="C19" s="14" t="str">
        <x:v>land</x:v>
      </x:c>
      <x:c r="D19" s="21" t="n">
        <x:v>12325</x:v>
      </x:c>
      <x:c r="E19" s="21" t="n">
        <x:v>12325</x:v>
      </x:c>
      <x:c r="F19" s="14" t="str">
        <x:v>frosið frumgildi/framreikningur Íslands</x:v>
      </x:c>
      <x:c r="G19" s="19" t="n">
        <x:v>78.2</x:v>
      </x:c>
      <x:c r="H19" s="19" t="n">
        <x:v>81.6</x:v>
      </x:c>
    </x:row>
    <x:row r="20">
      <x:c r="A20" s="14" t="str">
        <x:v>LU</x:v>
      </x:c>
      <x:c r="B20" s="14" t="str">
        <x:v>Lúxemborg</x:v>
      </x:c>
      <x:c r="C20" s="14" t="str">
        <x:v>land</x:v>
      </x:c>
      <x:c r="D20" s="21" t="n">
        <x:v>50799</x:v>
      </x:c>
      <x:c r="E20" s="21" t="n">
        <x:v>50799</x:v>
      </x:c>
      <x:c r="F20" s="14" t="str">
        <x:v>frosið frumgildi/framreikningur Íslands</x:v>
      </x:c>
      <x:c r="G20" s="19" t="n">
        <x:v>150.7</x:v>
      </x:c>
      <x:c r="H20" s="19" t="n">
        <x:v>132.8</x:v>
      </x:c>
    </x:row>
    <x:row r="21">
      <x:c r="A21" s="14" t="str">
        <x:v>HU</x:v>
      </x:c>
      <x:c r="B21" s="14" t="str">
        <x:v>Ungverjaland</x:v>
      </x:c>
      <x:c r="C21" s="14" t="str">
        <x:v>land</x:v>
      </x:c>
      <x:c r="D21" s="21" t="n">
        <x:v>8815</x:v>
      </x:c>
      <x:c r="E21" s="21" t="n">
        <x:v>8488</x:v>
      </x:c>
      <x:c r="F21" s="14" t="str">
        <x:v>afleitt af sex birtum reitum glærunnar</x:v>
      </x:c>
      <x:c r="G21" s="19" t="n">
        <x:v>68.3</x:v>
      </x:c>
      <x:c r="H21" s="19" t="n">
        <x:v>73.5</x:v>
      </x:c>
    </x:row>
    <x:row r="22">
      <x:c r="A22" s="14" t="str">
        <x:v>MT</x:v>
      </x:c>
      <x:c r="B22" s="14" t="str">
        <x:v>Malta</x:v>
      </x:c>
      <x:c r="C22" s="14" t="str">
        <x:v>land</x:v>
      </x:c>
      <x:c r="D22" s="21" t="n">
        <x:v>19701</x:v>
      </x:c>
      <x:c r="E22" s="21" t="n">
        <x:v>19701</x:v>
      </x:c>
      <x:c r="F22" s="14" t="str">
        <x:v>frosið frumgildi/framreikningur Íslands</x:v>
      </x:c>
      <x:c r="G22" s="19" t="n">
        <x:v>93.1</x:v>
      </x:c>
      <x:c r="H22" s="19" t="n">
        <x:v>91.6</x:v>
      </x:c>
    </x:row>
    <x:row r="23">
      <x:c r="A23" s="14" t="str">
        <x:v>NL</x:v>
      </x:c>
      <x:c r="B23" s="14" t="str">
        <x:v>Holland</x:v>
      </x:c>
      <x:c r="C23" s="14" t="str">
        <x:v>land</x:v>
      </x:c>
      <x:c r="D23" s="21" t="n">
        <x:v>31981</x:v>
      </x:c>
      <x:c r="E23" s="21" t="n">
        <x:v>31981</x:v>
      </x:c>
      <x:c r="F23" s="14" t="str">
        <x:v>frosið frumgildi/framreikningur Íslands</x:v>
      </x:c>
      <x:c r="G23" s="19" t="n">
        <x:v>121</x:v>
      </x:c>
      <x:c r="H23" s="19" t="n">
        <x:v>116</x:v>
      </x:c>
    </x:row>
    <x:row r="24">
      <x:c r="A24" s="14" t="str">
        <x:v>AT</x:v>
      </x:c>
      <x:c r="B24" s="14" t="str">
        <x:v>Austurríki</x:v>
      </x:c>
      <x:c r="C24" s="14" t="str">
        <x:v>land</x:v>
      </x:c>
      <x:c r="D24" s="21" t="n">
        <x:v>33210</x:v>
      </x:c>
      <x:c r="E24" s="21" t="n">
        <x:v>33210</x:v>
      </x:c>
      <x:c r="F24" s="14" t="str">
        <x:v>frosið frumgildi/framreikningur Íslands</x:v>
      </x:c>
      <x:c r="G24" s="19" t="n">
        <x:v>119.7</x:v>
      </x:c>
      <x:c r="H24" s="19" t="n">
        <x:v>112.8</x:v>
      </x:c>
    </x:row>
    <x:row r="25">
      <x:c r="A25" s="14" t="str">
        <x:v>PL</x:v>
      </x:c>
      <x:c r="B25" s="14" t="str">
        <x:v>Pólland</x:v>
      </x:c>
      <x:c r="C25" s="14" t="str">
        <x:v>land</x:v>
      </x:c>
      <x:c r="D25" s="21" t="n">
        <x:v>11921</x:v>
      </x:c>
      <x:c r="E25" s="21" t="n">
        <x:v>11921</x:v>
      </x:c>
      <x:c r="F25" s="14" t="str">
        <x:v>frosið frumgildi/framreikningur Íslands</x:v>
      </x:c>
      <x:c r="G25" s="19" t="n">
        <x:v>70.2</x:v>
      </x:c>
      <x:c r="H25" s="19" t="n">
        <x:v>72.2</x:v>
      </x:c>
    </x:row>
    <x:row r="26">
      <x:c r="A26" s="14" t="str">
        <x:v>PT</x:v>
      </x:c>
      <x:c r="B26" s="14" t="str">
        <x:v>Portúgal</x:v>
      </x:c>
      <x:c r="C26" s="14" t="str">
        <x:v>land</x:v>
      </x:c>
      <x:c r="D26" s="21" t="n">
        <x:v>12646</x:v>
      </x:c>
      <x:c r="E26" s="21" t="n">
        <x:v>12646</x:v>
      </x:c>
      <x:c r="F26" s="14" t="str">
        <x:v>frosið frumgildi/framreikningur Íslands</x:v>
      </x:c>
      <x:c r="G26" s="19" t="n">
        <x:v>85</x:v>
      </x:c>
      <x:c r="H26" s="19" t="n">
        <x:v>87</x:v>
      </x:c>
    </x:row>
    <x:row r="27">
      <x:c r="A27" s="14" t="str">
        <x:v>RO</x:v>
      </x:c>
      <x:c r="B27" s="14" t="str">
        <x:v>Rúmenía</x:v>
      </x:c>
      <x:c r="C27" s="14" t="str">
        <x:v>land</x:v>
      </x:c>
      <x:c r="D27" s="21" t="n">
        <x:v>7837</x:v>
      </x:c>
      <x:c r="E27" s="21" t="n">
        <x:v>7837</x:v>
      </x:c>
      <x:c r="F27" s="14" t="str">
        <x:v>frosið frumgildi/framreikningur Íslands</x:v>
      </x:c>
      <x:c r="G27" s="19" t="n">
        <x:v>57.4</x:v>
      </x:c>
      <x:c r="H27" s="19" t="n">
        <x:v>63.7</x:v>
      </x:c>
    </x:row>
    <x:row r="28">
      <x:c r="A28" s="14" t="str">
        <x:v>SI</x:v>
      </x:c>
      <x:c r="B28" s="14" t="str">
        <x:v>Slóvenía</x:v>
      </x:c>
      <x:c r="C28" s="14" t="str">
        <x:v>land</x:v>
      </x:c>
      <x:c r="D28" s="21" t="n">
        <x:v>19620</x:v>
      </x:c>
      <x:c r="E28" s="21" t="n">
        <x:v>19620</x:v>
      </x:c>
      <x:c r="F28" s="14" t="str">
        <x:v>frosið frumgildi/framreikningur Íslands</x:v>
      </x:c>
      <x:c r="G28" s="19" t="n">
        <x:v>91</x:v>
      </x:c>
      <x:c r="H28" s="19" t="n">
        <x:v>90.2</x:v>
      </x:c>
    </x:row>
    <x:row r="29">
      <x:c r="A29" s="14" t="str">
        <x:v>SK</x:v>
      </x:c>
      <x:c r="B29" s="14" t="str">
        <x:v>Slóvakía</x:v>
      </x:c>
      <x:c r="C29" s="14" t="str">
        <x:v>land</x:v>
      </x:c>
      <x:c r="D29" s="21" t="n">
        <x:v>10171</x:v>
      </x:c>
      <x:c r="E29" s="21" t="n">
        <x:v>10171</x:v>
      </x:c>
      <x:c r="F29" s="14" t="str">
        <x:v>frosið frumgildi/framreikningur Íslands</x:v>
      </x:c>
      <x:c r="G29" s="19" t="n">
        <x:v>81.1</x:v>
      </x:c>
      <x:c r="H29" s="19" t="n">
        <x:v>84.7</x:v>
      </x:c>
    </x:row>
    <x:row r="30">
      <x:c r="A30" s="14" t="str">
        <x:v>FI</x:v>
      </x:c>
      <x:c r="B30" s="14" t="str">
        <x:v>Finnland</x:v>
      </x:c>
      <x:c r="C30" s="14" t="str">
        <x:v>land</x:v>
      </x:c>
      <x:c r="D30" s="21" t="n">
        <x:v>28693</x:v>
      </x:c>
      <x:c r="E30" s="21" t="n">
        <x:v>28693</x:v>
      </x:c>
      <x:c r="F30" s="14" t="str">
        <x:v>frosið frumgildi/framreikningur Íslands</x:v>
      </x:c>
      <x:c r="G30" s="19" t="n">
        <x:v>127.2</x:v>
      </x:c>
      <x:c r="H30" s="19" t="n">
        <x:v>123.5</x:v>
      </x:c>
    </x:row>
    <x:row r="31">
      <x:c r="A31" s="14" t="str">
        <x:v>SE</x:v>
      </x:c>
      <x:c r="B31" s="14" t="str">
        <x:v>Svíþjóð</x:v>
      </x:c>
      <x:c r="C31" s="14" t="str">
        <x:v>land</x:v>
      </x:c>
      <x:c r="D31" s="21" t="n">
        <x:v>26915</x:v>
      </x:c>
      <x:c r="E31" s="21" t="n">
        <x:v>26915</x:v>
      </x:c>
      <x:c r="F31" s="14" t="str">
        <x:v>frosið frumgildi/framreikningur Íslands</x:v>
      </x:c>
      <x:c r="G31" s="19" t="n">
        <x:v>123</x:v>
      </x:c>
      <x:c r="H31" s="19" t="n">
        <x:v>115.1</x:v>
      </x:c>
    </x:row>
    <x:row r="32">
      <x:c r="A32" s="40" t="str">
        <x:v>IS</x:v>
      </x:c>
      <x:c r="B32" s="40" t="str">
        <x:v>Ísland</x:v>
      </x:c>
      <x:c r="C32" s="40" t="str">
        <x:v>land</x:v>
      </x:c>
      <x:c r="D32" s="41" t="n">
        <x:v>51875.045388782164</x:v>
      </x:c>
      <x:c r="E32" s="41" t="n">
        <x:v>51875.045388782164</x:v>
      </x:c>
      <x:c r="F32" s="40" t="str">
        <x:v>frosið frumgildi/framreikningur Íslands</x:v>
      </x:c>
      <x:c r="G32" s="42" t="n">
        <x:v>172.7</x:v>
      </x:c>
      <x:c r="H32" s="42" t="n">
        <x:v>161.7</x:v>
      </x:c>
    </x:row>
    <x:row r="33">
      <x:c r="A33" s="43" t="str">
        <x:v>EU27_2020</x:v>
      </x:c>
      <x:c r="B33" s="43" t="str">
        <x:v>ESB-27</x:v>
      </x:c>
      <x:c r="C33" s="43" t="str">
        <x:v>vidmid</x:v>
      </x:c>
      <x:c r="D33" s="44" t="n">
        <x:v>21582</x:v>
      </x:c>
      <x:c r="E33" s="44" t="n">
        <x:v>21582</x:v>
      </x:c>
      <x:c r="F33" s="43" t="str">
        <x:v>frosið frumgildi/framreikningur Íslands</x:v>
      </x:c>
      <x:c r="G33" s="45" t="n">
        <x:v>100</x:v>
      </x:c>
      <x:c r="H33" s="45" t="n">
        <x:v>100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9" hidden="0" customWidth="1"/>
    <x:col min="3" max="3" width="16" hidden="0" customWidth="1"/>
    <x:col min="4" max="4" width="18" hidden="0" customWidth="1"/>
    <x:col min="5" max="5" width="13" hidden="0" customWidth="1"/>
    <x:col min="6" max="6" width="20" hidden="0" customWidth="1"/>
    <x:col min="7" max="7" width="14" hidden="0" customWidth="1"/>
    <x:col min="8" max="8" width="14" hidden="0" customWidth="1"/>
    <x:col min="9" max="9" width="13" hidden="0" customWidth="1"/>
    <x:col min="10" max="10" width="38" hidden="0" customWidth="1"/>
  </x:cols>
  <x:sheetData>
    <x:row r="1" ht="30" customHeight="1">
      <x:c r="A1" s="3" t="str">
        <x:v>Útreikningur og röðun</x:v>
      </x:c>
      <x:c r="B1" s="3" t="str">
        <x:v>Útreikningur og röðun</x:v>
      </x:c>
      <x:c r="C1" s="3" t="str">
        <x:v>Útreikningur og röðun</x:v>
      </x:c>
      <x:c r="D1" s="3" t="str">
        <x:v>Útreikningur og röðun</x:v>
      </x:c>
      <x:c r="E1" s="3" t="str">
        <x:v>Útreikningur og röðun</x:v>
      </x:c>
      <x:c r="F1" s="3" t="str">
        <x:v>Útreikningur og röðun</x:v>
      </x:c>
      <x:c r="G1" s="3" t="str">
        <x:v>Útreikningur og röðun</x:v>
      </x:c>
      <x:c r="H1" s="3" t="str">
        <x:v>Útreikningur og röðun</x:v>
      </x:c>
      <x:c r="I1" s="3" t="str">
        <x:v>Útreikningur og röðun</x:v>
      </x:c>
      <x:c r="J1" s="3" t="str">
        <x:v>Útreikningur og röðun</x:v>
      </x:c>
    </x:row>
    <x:row r="2" ht="32" customHeight="1">
      <x:c r="A2" s="7" t="str">
        <x:v>Formúlur vísa í stöðugt inntak; röðun er frá hæsta gildi niður</x:v>
      </x:c>
      <x:c r="B2" s="7" t="str">
        <x:v>Formúlur vísa í stöðugt inntak; röðun er frá hæsta gildi niður</x:v>
      </x:c>
      <x:c r="C2" s="7" t="str">
        <x:v>Formúlur vísa í stöðugt inntak; röðun er frá hæsta gildi niður</x:v>
      </x:c>
      <x:c r="D2" s="7" t="str">
        <x:v>Formúlur vísa í stöðugt inntak; röðun er frá hæsta gildi niður</x:v>
      </x:c>
      <x:c r="E2" s="7" t="str">
        <x:v>Formúlur vísa í stöðugt inntak; röðun er frá hæsta gildi niður</x:v>
      </x:c>
      <x:c r="F2" s="7" t="str">
        <x:v>Formúlur vísa í stöðugt inntak; röðun er frá hæsta gildi niður</x:v>
      </x:c>
      <x:c r="G2" s="7" t="str">
        <x:v>Formúlur vísa í stöðugt inntak; röðun er frá hæsta gildi niður</x:v>
      </x:c>
      <x:c r="H2" s="7" t="str">
        <x:v>Formúlur vísa í stöðugt inntak; röðun er frá hæsta gildi niður</x:v>
      </x:c>
      <x:c r="I2" s="7" t="str">
        <x:v>Formúlur vísa í stöðugt inntak; röðun er frá hæsta gildi niður</x:v>
      </x:c>
      <x:c r="J2" s="7" t="str">
        <x:v>Formúlur vísa í stöðugt inntak; röðun er frá hæsta gildi niður</x:v>
      </x:c>
    </x:row>
    <x:row r="4">
      <x:c r="A4" s="12" t="str">
        <x:v>geo</x:v>
      </x:c>
      <x:c r="B4" s="12" t="str">
        <x:v>land</x:v>
      </x:c>
      <x:c r="C4" s="12" t="str">
        <x:v>tekjur endurgerðar EUR</x:v>
      </x:c>
      <x:c r="D4" s="12" t="str">
        <x:v>tekjuhlutfall</x:v>
      </x:c>
      <x:c r="E4" s="12" t="str">
        <x:v>PLI A01</x:v>
      </x:c>
      <x:c r="F4" s="12" t="str">
        <x:v>tekjuleiðrétt A01</x:v>
      </x:c>
      <x:c r="G4" s="12" t="str">
        <x:v>sæti vinstri</x:v>
      </x:c>
      <x:c r="H4" s="12" t="str">
        <x:v>sæti hægri E011</x:v>
      </x:c>
      <x:c r="I4" s="12" t="str">
        <x:v>PLI E011</x:v>
      </x:c>
      <x:c r="J4" s="12" t="str">
        <x:v>athugasemd</x:v>
      </x:c>
    </x:row>
    <x:row r="5">
      <x:c r="A5" s="14" t="str">
        <x:v>BE</x:v>
      </x:c>
      <x:c r="B5" s="14" t="str">
        <x:v>Belgía</x:v>
      </x:c>
      <x:c r="C5" s="20" t="n">
        <x:v>30446</x:v>
      </x:c>
      <x:c r="D5" s="46" t="n">
        <x:f>C5/$C$33</x:f>
        <x:v>1.410712630896117</x:v>
      </x:c>
      <x:c r="E5" s="23" t="n">
        <x:v>118.7</x:v>
      </x:c>
      <x:c r="F5" s="23" t="n">
        <x:f>E5/D5</x:f>
        <x:v>84.14187085331407</x:v>
      </x:c>
      <x:c r="G5" s="18" t="n">
        <x:f>RANK(F5,$F$5:$F$32,0)</x:f>
        <x:v>24</x:v>
      </x:c>
      <x:c r="H5" s="18" t="n">
        <x:f>RANK(I5,$I$5:$I$32,0)</x:f>
        <x:v>6</x:v>
      </x:c>
      <x:c r="I5" s="19" t="n">
        <x:v>116.5</x:v>
      </x:c>
      <x:c r="J5" s="14" t="str"/>
    </x:row>
    <x:row r="6">
      <x:c r="A6" s="14" t="str">
        <x:v>BG</x:v>
      </x:c>
      <x:c r="B6" s="14" t="str">
        <x:v>Búlgaría</x:v>
      </x:c>
      <x:c r="C6" s="20" t="n">
        <x:v>7811</x:v>
      </x:c>
      <x:c r="D6" s="46" t="n">
        <x:f>C6/$C$33</x:f>
        <x:v>0.3619219720137151</x:v>
      </x:c>
      <x:c r="E6" s="23" t="n">
        <x:v>56.9</x:v>
      </x:c>
      <x:c r="F6" s="23" t="n">
        <x:f>E6/D6</x:f>
        <x:v>157.2162079119191</x:v>
      </x:c>
      <x:c r="G6" s="18" t="n">
        <x:f>RANK(F6,$F$5:$F$32,0)</x:f>
        <x:v>5</x:v>
      </x:c>
      <x:c r="H6" s="18" t="n">
        <x:f>RANK(I6,$I$5:$I$32,0)</x:f>
        <x:v>28</x:v>
      </x:c>
      <x:c r="I6" s="19" t="n">
        <x:v>59.7</x:v>
      </x:c>
      <x:c r="J6" s="14" t="str"/>
    </x:row>
    <x:row r="7">
      <x:c r="A7" s="14" t="str">
        <x:v>CZ</x:v>
      </x:c>
      <x:c r="B7" s="14" t="str">
        <x:v>Tékkland</x:v>
      </x:c>
      <x:c r="C7" s="20" t="n">
        <x:v>15133</x:v>
      </x:c>
      <x:c r="D7" s="46" t="n">
        <x:f>C7/$C$33</x:f>
        <x:v>0.7011861736632379</x:v>
      </x:c>
      <x:c r="E7" s="23" t="n">
        <x:v>80.2</x:v>
      </x:c>
      <x:c r="F7" s="23" t="n">
        <x:f>E7/D7</x:f>
        <x:v>114.37761184167053</x:v>
      </x:c>
      <x:c r="G7" s="18" t="n">
        <x:f>RANK(F7,$F$5:$F$32,0)</x:f>
        <x:v>12</x:v>
      </x:c>
      <x:c r="H7" s="18" t="n">
        <x:f>RANK(I7,$I$5:$I$32,0)</x:f>
        <x:v>18</x:v>
      </x:c>
      <x:c r="I7" s="19" t="n">
        <x:v>88.4</x:v>
      </x:c>
      <x:c r="J7" s="14" t="str"/>
    </x:row>
    <x:row r="8">
      <x:c r="A8" s="14" t="str">
        <x:v>DK</x:v>
      </x:c>
      <x:c r="B8" s="14" t="str">
        <x:v>Danmörk</x:v>
      </x:c>
      <x:c r="C8" s="20" t="n">
        <x:v>34843</x:v>
      </x:c>
      <x:c r="D8" s="46" t="n">
        <x:f>C8/$C$33</x:f>
        <x:v>1.6144472245389676</x:v>
      </x:c>
      <x:c r="E8" s="23" t="n">
        <x:v>142.8</x:v>
      </x:c>
      <x:c r="F8" s="23" t="n">
        <x:f>E8/D8</x:f>
        <x:v>88.45132738283156</x:v>
      </x:c>
      <x:c r="G8" s="18" t="n">
        <x:f>RANK(F8,$F$5:$F$32,0)</x:f>
        <x:v>22</x:v>
      </x:c>
      <x:c r="H8" s="18" t="n">
        <x:f>RANK(I8,$I$5:$I$32,0)</x:f>
        <x:v>2</x:v>
      </x:c>
      <x:c r="I8" s="19" t="n">
        <x:v>143.1</x:v>
      </x:c>
      <x:c r="J8" s="14" t="str"/>
    </x:row>
    <x:row r="9">
      <x:c r="A9" s="14" t="str">
        <x:v>DE</x:v>
      </x:c>
      <x:c r="B9" s="14" t="str">
        <x:v>Þýskaland</x:v>
      </x:c>
      <x:c r="C9" s="20" t="n">
        <x:v>27619</x:v>
      </x:c>
      <x:c r="D9" s="46" t="n">
        <x:f>C9/$C$33</x:f>
        <x:v>1.2797238439440275</x:v>
      </x:c>
      <x:c r="E9" s="23" t="n">
        <x:v>109.1</x:v>
      </x:c>
      <x:c r="F9" s="23" t="n">
        <x:f>E9/D9</x:f>
        <x:v>85.25276802201383</x:v>
      </x:c>
      <x:c r="G9" s="18" t="n">
        <x:f>RANK(F9,$F$5:$F$32,0)</x:f>
        <x:v>23</x:v>
      </x:c>
      <x:c r="H9" s="18" t="n">
        <x:f>RANK(I9,$I$5:$I$32,0)</x:f>
        <x:v>11</x:v>
      </x:c>
      <x:c r="I9" s="19" t="n">
        <x:v>108.6</x:v>
      </x:c>
      <x:c r="J9" s="14" t="str"/>
    </x:row>
    <x:row r="10">
      <x:c r="A10" s="14" t="str">
        <x:v>EE</x:v>
      </x:c>
      <x:c r="B10" s="14" t="str">
        <x:v>Eistland</x:v>
      </x:c>
      <x:c r="C10" s="20" t="n">
        <x:v>16140</x:v>
      </x:c>
      <x:c r="D10" s="46" t="n">
        <x:f>C10/$C$33</x:f>
        <x:v>0.7478454267445093</x:v>
      </x:c>
      <x:c r="E10" s="23" t="n">
        <x:v>96.5</x:v>
      </x:c>
      <x:c r="F10" s="23" t="n">
        <x:f>E10/D10</x:f>
        <x:v>129.03736059479556</x:v>
      </x:c>
      <x:c r="G10" s="18" t="n">
        <x:f>RANK(F10,$F$5:$F$32,0)</x:f>
        <x:v>9</x:v>
      </x:c>
      <x:c r="H10" s="18" t="n">
        <x:f>RANK(I10,$I$5:$I$32,0)</x:f>
        <x:v>12</x:v>
      </x:c>
      <x:c r="I10" s="19" t="n">
        <x:v>100</x:v>
      </x:c>
      <x:c r="J10" s="14" t="str"/>
    </x:row>
    <x:row r="11">
      <x:c r="A11" s="14" t="str">
        <x:v>IE</x:v>
      </x:c>
      <x:c r="B11" s="14" t="str">
        <x:v>Írland</x:v>
      </x:c>
      <x:c r="C11" s="20" t="n">
        <x:v>33013</x:v>
      </x:c>
      <x:c r="D11" s="46" t="n">
        <x:f>C11/$C$33</x:f>
        <x:v>1.5296543415809472</x:v>
      </x:c>
      <x:c r="E11" s="23" t="n">
        <x:v>141.2</x:v>
      </x:c>
      <x:c r="F11" s="23" t="n">
        <x:f>E11/D11</x:f>
        <x:v>92.30843607063883</x:v>
      </x:c>
      <x:c r="G11" s="18" t="n">
        <x:f>RANK(F11,$F$5:$F$32,0)</x:f>
        <x:v>20</x:v>
      </x:c>
      <x:c r="H11" s="18" t="n">
        <x:f>RANK(I11,$I$5:$I$32,0)</x:f>
        <x:v>3</x:v>
      </x:c>
      <x:c r="I11" s="19" t="n">
        <x:v>138.1</x:v>
      </x:c>
      <x:c r="J11" s="14" t="str"/>
    </x:row>
    <x:row r="12">
      <x:c r="A12" s="14" t="str">
        <x:v>EL</x:v>
      </x:c>
      <x:c r="B12" s="14" t="str">
        <x:v>Grikkland</x:v>
      </x:c>
      <x:c r="C12" s="20" t="n">
        <x:v>10850</x:v>
      </x:c>
      <x:c r="D12" s="46" t="n">
        <x:f>C12/$C$33</x:f>
        <x:v>0.5027337596144935</x:v>
      </x:c>
      <x:c r="E12" s="23" t="n">
        <x:v>83</x:v>
      </x:c>
      <x:c r="F12" s="23" t="n">
        <x:f>E12/D12</x:f>
        <x:v>165.0973271889401</x:v>
      </x:c>
      <x:c r="G12" s="18" t="n">
        <x:f>RANK(F12,$F$5:$F$32,0)</x:f>
        <x:v>3</x:v>
      </x:c>
      <x:c r="H12" s="18" t="n">
        <x:f>RANK(I12,$I$5:$I$32,0)</x:f>
        <x:v>20</x:v>
      </x:c>
      <x:c r="I12" s="19" t="n">
        <x:v>86</x:v>
      </x:c>
      <x:c r="J12" s="14" t="str"/>
    </x:row>
    <x:row r="13">
      <x:c r="A13" s="14" t="str">
        <x:v>ES</x:v>
      </x:c>
      <x:c r="B13" s="14" t="str">
        <x:v>Spánn</x:v>
      </x:c>
      <x:c r="C13" s="20" t="n">
        <x:v>19307</x:v>
      </x:c>
      <x:c r="D13" s="46" t="n">
        <x:f>C13/$C$33</x:f>
        <x:v>0.8945880826614772</x:v>
      </x:c>
      <x:c r="E13" s="23" t="n">
        <x:v>90.7</x:v>
      </x:c>
      <x:c r="F13" s="23" t="n">
        <x:f>E13/D13</x:f>
        <x:v>101.38744496814627</x:v>
      </x:c>
      <x:c r="G13" s="18" t="n">
        <x:f>RANK(F13,$F$5:$F$32,0)</x:f>
        <x:v>15</x:v>
      </x:c>
      <x:c r="H13" s="18" t="n">
        <x:f>RANK(I13,$I$5:$I$32,0)</x:f>
        <x:v>16</x:v>
      </x:c>
      <x:c r="I13" s="19" t="n">
        <x:v>90.9</x:v>
      </x:c>
      <x:c r="J13" s="14" t="str"/>
    </x:row>
    <x:row r="14">
      <x:c r="A14" s="14" t="str">
        <x:v>FR</x:v>
      </x:c>
      <x:c r="B14" s="14" t="str">
        <x:v>Frakkland</x:v>
      </x:c>
      <x:c r="C14" s="20" t="n">
        <x:v>25557</x:v>
      </x:c>
      <x:c r="D14" s="46" t="n">
        <x:f>C14/$C$33</x:f>
        <x:v>1.1841812621629135</x:v>
      </x:c>
      <x:c r="E14" s="23" t="n">
        <x:v>107.9</x:v>
      </x:c>
      <x:c r="F14" s="23" t="n">
        <x:f>E14/D14</x:f>
        <x:v>91.11780725437258</x:v>
      </x:c>
      <x:c r="G14" s="18" t="n">
        <x:f>RANK(F14,$F$5:$F$32,0)</x:f>
        <x:v>21</x:v>
      </x:c>
      <x:c r="H14" s="18" t="n">
        <x:f>RANK(I14,$I$5:$I$32,0)</x:f>
        <x:v>10</x:v>
      </x:c>
      <x:c r="I14" s="19" t="n">
        <x:v>111.2</x:v>
      </x:c>
      <x:c r="J14" s="14" t="str"/>
    </x:row>
    <x:row r="15">
      <x:c r="A15" s="14" t="str">
        <x:v>HR</x:v>
      </x:c>
      <x:c r="B15" s="14" t="str">
        <x:v>Króatía</x:v>
      </x:c>
      <x:c r="C15" s="20" t="n">
        <x:v>12344</x:v>
      </x:c>
      <x:c r="D15" s="46" t="n">
        <x:f>C15/$C$33</x:f>
        <x:v>0.5719581132425169</x:v>
      </x:c>
      <x:c r="E15" s="23" t="n">
        <x:v>73.3</x:v>
      </x:c>
      <x:c r="F15" s="23" t="n">
        <x:f>E15/D15</x:f>
        <x:v>128.1562378483474</x:v>
      </x:c>
      <x:c r="G15" s="18" t="n">
        <x:f>RANK(F15,$F$5:$F$32,0)</x:f>
        <x:v>10</x:v>
      </x:c>
      <x:c r="H15" s="18" t="n">
        <x:f>RANK(I15,$I$5:$I$32,0)</x:f>
        <x:v>24</x:v>
      </x:c>
      <x:c r="I15" s="19" t="n">
        <x:v>76.3</x:v>
      </x:c>
      <x:c r="J15" s="14" t="str"/>
    </x:row>
    <x:row r="16">
      <x:c r="A16" s="14" t="str">
        <x:v>IT</x:v>
      </x:c>
      <x:c r="B16" s="14" t="str">
        <x:v>Ítalía</x:v>
      </x:c>
      <x:c r="C16" s="20" t="n">
        <x:v>20605</x:v>
      </x:c>
      <x:c r="D16" s="46" t="n">
        <x:f>C16/$C$33</x:f>
        <x:v>0.9547307941803355</x:v>
      </x:c>
      <x:c r="E16" s="23" t="n">
        <x:v>98.1</x:v>
      </x:c>
      <x:c r="F16" s="23" t="n">
        <x:f>E16/D16</x:f>
        <x:v>102.75147779665129</x:v>
      </x:c>
      <x:c r="G16" s="18" t="n">
        <x:f>RANK(F16,$F$5:$F$32,0)</x:f>
        <x:v>13</x:v>
      </x:c>
      <x:c r="H16" s="18" t="n">
        <x:f>RANK(I16,$I$5:$I$32,0)</x:f>
        <x:v>13</x:v>
      </x:c>
      <x:c r="I16" s="19" t="n">
        <x:v>97.5</x:v>
      </x:c>
      <x:c r="J16" s="14" t="str"/>
    </x:row>
    <x:row r="17">
      <x:c r="A17" s="14" t="str">
        <x:v>CY</x:v>
      </x:c>
      <x:c r="B17" s="14" t="str">
        <x:v>Kýpur</x:v>
      </x:c>
      <x:c r="C17" s="20" t="n">
        <x:v>20666</x:v>
      </x:c>
      <x:c r="D17" s="46" t="n">
        <x:f>C17/$C$33</x:f>
        <x:v>0.9575572236122695</x:v>
      </x:c>
      <x:c r="E17" s="23" t="n">
        <x:v>95.1</x:v>
      </x:c>
      <x:c r="F17" s="23" t="n">
        <x:f>E17/D17</x:f>
        <x:v>99.31521339398044</x:v>
      </x:c>
      <x:c r="G17" s="18" t="n">
        <x:f>RANK(F17,$F$5:$F$32,0)</x:f>
        <x:v>17</x:v>
      </x:c>
      <x:c r="H17" s="18" t="n">
        <x:f>RANK(I17,$I$5:$I$32,0)</x:f>
        <x:v>14</x:v>
      </x:c>
      <x:c r="I17" s="19" t="n">
        <x:v>92.8</x:v>
      </x:c>
      <x:c r="J17" s="14" t="str"/>
    </x:row>
    <x:row r="18">
      <x:c r="A18" s="14" t="str">
        <x:v>LV</x:v>
      </x:c>
      <x:c r="B18" s="14" t="str">
        <x:v>Lettland</x:v>
      </x:c>
      <x:c r="C18" s="20" t="n">
        <x:v>12821</x:v>
      </x:c>
      <x:c r="D18" s="46" t="n">
        <x:f>C18/$C$33</x:f>
        <x:v>0.5940598647020665</x:v>
      </x:c>
      <x:c r="E18" s="23" t="n">
        <x:v>77.2</x:v>
      </x:c>
      <x:c r="F18" s="23" t="n">
        <x:f>E18/D18</x:f>
        <x:v>129.95323297714688</x:v>
      </x:c>
      <x:c r="G18" s="18" t="n">
        <x:f>RANK(F18,$F$5:$F$32,0)</x:f>
        <x:v>8</x:v>
      </x:c>
      <x:c r="H18" s="18" t="n">
        <x:f>RANK(I18,$I$5:$I$32,0)</x:f>
        <x:v>22</x:v>
      </x:c>
      <x:c r="I18" s="19" t="n">
        <x:v>81.8</x:v>
      </x:c>
      <x:c r="J18" s="14" t="str"/>
    </x:row>
    <x:row r="19">
      <x:c r="A19" s="14" t="str">
        <x:v>LT</x:v>
      </x:c>
      <x:c r="B19" s="14" t="str">
        <x:v>Litháen</x:v>
      </x:c>
      <x:c r="C19" s="20" t="n">
        <x:v>12325</x:v>
      </x:c>
      <x:c r="D19" s="46" t="n">
        <x:f>C19/$C$33</x:f>
        <x:v>0.5710777499768326</x:v>
      </x:c>
      <x:c r="E19" s="23" t="n">
        <x:v>78.2</x:v>
      </x:c>
      <x:c r="F19" s="23" t="n">
        <x:f>E19/D19</x:f>
        <x:v>136.93406896551724</x:v>
      </x:c>
      <x:c r="G19" s="18" t="n">
        <x:f>RANK(F19,$F$5:$F$32,0)</x:f>
        <x:v>7</x:v>
      </x:c>
      <x:c r="H19" s="18" t="n">
        <x:f>RANK(I19,$I$5:$I$32,0)</x:f>
        <x:v>23</x:v>
      </x:c>
      <x:c r="I19" s="19" t="n">
        <x:v>81.6</x:v>
      </x:c>
      <x:c r="J19" s="14" t="str"/>
    </x:row>
    <x:row r="20">
      <x:c r="A20" s="14" t="str">
        <x:v>LU</x:v>
      </x:c>
      <x:c r="B20" s="14" t="str">
        <x:v>Lúxemborg</x:v>
      </x:c>
      <x:c r="C20" s="20" t="n">
        <x:v>50799</x:v>
      </x:c>
      <x:c r="D20" s="46" t="n">
        <x:f>C20/$C$33</x:f>
        <x:v>2.3537670280789547</x:v>
      </x:c>
      <x:c r="E20" s="23" t="n">
        <x:v>150.7</x:v>
      </x:c>
      <x:c r="F20" s="23" t="n">
        <x:f>E20/D20</x:f>
        <x:v>64.0250280517333</x:v>
      </x:c>
      <x:c r="G20" s="18" t="n">
        <x:f>RANK(F20,$F$5:$F$32,0)</x:f>
        <x:v>28</x:v>
      </x:c>
      <x:c r="H20" s="18" t="n">
        <x:f>RANK(I20,$I$5:$I$32,0)</x:f>
        <x:v>4</x:v>
      </x:c>
      <x:c r="I20" s="19" t="n">
        <x:v>132.8</x:v>
      </x:c>
      <x:c r="J20" s="14" t="str"/>
    </x:row>
    <x:row r="21">
      <x:c r="A21" s="14" t="str">
        <x:v>HU</x:v>
      </x:c>
      <x:c r="B21" s="14" t="str">
        <x:v>Ungverjaland</x:v>
      </x:c>
      <x:c r="C21" s="20" t="n">
        <x:v>8815</x:v>
      </x:c>
      <x:c r="D21" s="46" t="n">
        <x:f>C21/$C$33</x:f>
        <x:v>0.4084422203688259</x:v>
      </x:c>
      <x:c r="E21" s="23" t="n">
        <x:v>68.3</x:v>
      </x:c>
      <x:c r="F21" s="23" t="n">
        <x:f>E21/D21</x:f>
        <x:v>167.22071469086782</x:v>
      </x:c>
      <x:c r="G21" s="18" t="n">
        <x:f>RANK(F21,$F$5:$F$32,0)</x:f>
        <x:v>2</x:v>
      </x:c>
      <x:c r="H21" s="18" t="n">
        <x:f>RANK(I21,$I$5:$I$32,0)</x:f>
        <x:v>25</x:v>
      </x:c>
      <x:c r="I21" s="19" t="n">
        <x:v>73.5</x:v>
      </x:c>
      <x:c r="J21" s="14" t="str">
        <x:v>Afleitt gildi 8815 EUR notað til að endurgera sex birt gildi; núverandi Eurostat-gildi er 8488 EUR</x:v>
      </x:c>
    </x:row>
    <x:row r="22">
      <x:c r="A22" s="14" t="str">
        <x:v>MT</x:v>
      </x:c>
      <x:c r="B22" s="14" t="str">
        <x:v>Malta</x:v>
      </x:c>
      <x:c r="C22" s="20" t="n">
        <x:v>19701</x:v>
      </x:c>
      <x:c r="D22" s="46" t="n">
        <x:f>C22/$C$33</x:f>
        <x:v>0.9128440366972477</x:v>
      </x:c>
      <x:c r="E22" s="23" t="n">
        <x:v>93.1</x:v>
      </x:c>
      <x:c r="F22" s="23" t="n">
        <x:f>E22/D22</x:f>
        <x:v>101.98894472361809</x:v>
      </x:c>
      <x:c r="G22" s="18" t="n">
        <x:f>RANK(F22,$F$5:$F$32,0)</x:f>
        <x:v>14</x:v>
      </x:c>
      <x:c r="H22" s="18" t="n">
        <x:f>RANK(I22,$I$5:$I$32,0)</x:f>
        <x:v>15</x:v>
      </x:c>
      <x:c r="I22" s="19" t="n">
        <x:v>91.6</x:v>
      </x:c>
      <x:c r="J22" s="14" t="str"/>
    </x:row>
    <x:row r="23">
      <x:c r="A23" s="14" t="str">
        <x:v>NL</x:v>
      </x:c>
      <x:c r="B23" s="14" t="str">
        <x:v>Holland</x:v>
      </x:c>
      <x:c r="C23" s="20" t="n">
        <x:v>31981</x:v>
      </x:c>
      <x:c r="D23" s="46" t="n">
        <x:f>C23/$C$33</x:f>
        <x:v>1.4818367157816699</x:v>
      </x:c>
      <x:c r="E23" s="23" t="n">
        <x:v>121</x:v>
      </x:c>
      <x:c r="F23" s="23" t="n">
        <x:f>E23/D23</x:f>
        <x:v>81.65542040586598</x:v>
      </x:c>
      <x:c r="G23" s="18" t="n">
        <x:f>RANK(F23,$F$5:$F$32,0)</x:f>
        <x:v>25</x:v>
      </x:c>
      <x:c r="H23" s="18" t="n">
        <x:f>RANK(I23,$I$5:$I$32,0)</x:f>
        <x:v>7</x:v>
      </x:c>
      <x:c r="I23" s="19" t="n">
        <x:v>116</x:v>
      </x:c>
      <x:c r="J23" s="14" t="str"/>
    </x:row>
    <x:row r="24">
      <x:c r="A24" s="14" t="str">
        <x:v>AT</x:v>
      </x:c>
      <x:c r="B24" s="14" t="str">
        <x:v>Austurríki</x:v>
      </x:c>
      <x:c r="C24" s="20" t="n">
        <x:v>33210</x:v>
      </x:c>
      <x:c r="D24" s="46" t="n">
        <x:f>C24/$C$33</x:f>
        <x:v>1.5387823185988323</x:v>
      </x:c>
      <x:c r="E24" s="23" t="n">
        <x:v>119.7</x:v>
      </x:c>
      <x:c r="F24" s="23" t="n">
        <x:f>E24/D24</x:f>
        <x:v>77.78878048780489</x:v>
      </x:c>
      <x:c r="G24" s="18" t="n">
        <x:f>RANK(F24,$F$5:$F$32,0)</x:f>
        <x:v>26</x:v>
      </x:c>
      <x:c r="H24" s="18" t="n">
        <x:f>RANK(I24,$I$5:$I$32,0)</x:f>
        <x:v>9</x:v>
      </x:c>
      <x:c r="I24" s="19" t="n">
        <x:v>112.8</x:v>
      </x:c>
      <x:c r="J24" s="14" t="str"/>
    </x:row>
    <x:row r="25">
      <x:c r="A25" s="14" t="str">
        <x:v>PL</x:v>
      </x:c>
      <x:c r="B25" s="14" t="str">
        <x:v>Pólland</x:v>
      </x:c>
      <x:c r="C25" s="20" t="n">
        <x:v>11921</x:v>
      </x:c>
      <x:c r="D25" s="46" t="n">
        <x:f>C25/$C$33</x:f>
        <x:v>0.5523584468538597</x:v>
      </x:c>
      <x:c r="E25" s="23" t="n">
        <x:v>70.2</x:v>
      </x:c>
      <x:c r="F25" s="23" t="n">
        <x:f>E25/D25</x:f>
        <x:v>127.09138495092694</x:v>
      </x:c>
      <x:c r="G25" s="18" t="n">
        <x:f>RANK(F25,$F$5:$F$32,0)</x:f>
        <x:v>11</x:v>
      </x:c>
      <x:c r="H25" s="18" t="n">
        <x:f>RANK(I25,$I$5:$I$32,0)</x:f>
        <x:v>26</x:v>
      </x:c>
      <x:c r="I25" s="19" t="n">
        <x:v>72.2</x:v>
      </x:c>
      <x:c r="J25" s="14" t="str"/>
    </x:row>
    <x:row r="26">
      <x:c r="A26" s="14" t="str">
        <x:v>PT</x:v>
      </x:c>
      <x:c r="B26" s="14" t="str">
        <x:v>Portúgal</x:v>
      </x:c>
      <x:c r="C26" s="20" t="n">
        <x:v>12646</x:v>
      </x:c>
      <x:c r="D26" s="46" t="n">
        <x:f>C26/$C$33</x:f>
        <x:v>0.5859512556760264</x:v>
      </x:c>
      <x:c r="E26" s="23" t="n">
        <x:v>85</x:v>
      </x:c>
      <x:c r="F26" s="23" t="n">
        <x:f>E26/D26</x:f>
        <x:v>145.06326111023247</x:v>
      </x:c>
      <x:c r="G26" s="18" t="n">
        <x:f>RANK(F26,$F$5:$F$32,0)</x:f>
        <x:v>6</x:v>
      </x:c>
      <x:c r="H26" s="18" t="n">
        <x:f>RANK(I26,$I$5:$I$32,0)</x:f>
        <x:v>19</x:v>
      </x:c>
      <x:c r="I26" s="19" t="n">
        <x:v>87</x:v>
      </x:c>
      <x:c r="J26" s="14" t="str"/>
    </x:row>
    <x:row r="27">
      <x:c r="A27" s="14" t="str">
        <x:v>RO</x:v>
      </x:c>
      <x:c r="B27" s="14" t="str">
        <x:v>Rúmenía</x:v>
      </x:c>
      <x:c r="C27" s="20" t="n">
        <x:v>7837</x:v>
      </x:c>
      <x:c r="D27" s="46" t="n">
        <x:f>C27/$C$33</x:f>
        <x:v>0.3631266796404411</x:v>
      </x:c>
      <x:c r="E27" s="23" t="n">
        <x:v>57.4</x:v>
      </x:c>
      <x:c r="F27" s="23" t="n">
        <x:f>E27/D27</x:f>
        <x:v>158.07155799413042</x:v>
      </x:c>
      <x:c r="G27" s="18" t="n">
        <x:f>RANK(F27,$F$5:$F$32,0)</x:f>
        <x:v>4</x:v>
      </x:c>
      <x:c r="H27" s="18" t="n">
        <x:f>RANK(I27,$I$5:$I$32,0)</x:f>
        <x:v>27</x:v>
      </x:c>
      <x:c r="I27" s="19" t="n">
        <x:v>63.7</x:v>
      </x:c>
      <x:c r="J27" s="14" t="str"/>
    </x:row>
    <x:row r="28">
      <x:c r="A28" s="14" t="str">
        <x:v>SI</x:v>
      </x:c>
      <x:c r="B28" s="14" t="str">
        <x:v>Slóvenía</x:v>
      </x:c>
      <x:c r="C28" s="20" t="n">
        <x:v>19620</x:v>
      </x:c>
      <x:c r="D28" s="46" t="n">
        <x:f>C28/$C$33</x:f>
        <x:v>0.9090909090909091</x:v>
      </x:c>
      <x:c r="E28" s="23" t="n">
        <x:v>91</x:v>
      </x:c>
      <x:c r="F28" s="23" t="n">
        <x:f>E28/D28</x:f>
        <x:v>100.10000000000001</x:v>
      </x:c>
      <x:c r="G28" s="18" t="n">
        <x:f>RANK(F28,$F$5:$F$32,0)</x:f>
        <x:v>16</x:v>
      </x:c>
      <x:c r="H28" s="18" t="n">
        <x:f>RANK(I28,$I$5:$I$32,0)</x:f>
        <x:v>17</x:v>
      </x:c>
      <x:c r="I28" s="19" t="n">
        <x:v>90.2</x:v>
      </x:c>
      <x:c r="J28" s="14" t="str"/>
    </x:row>
    <x:row r="29">
      <x:c r="A29" s="14" t="str">
        <x:v>SK</x:v>
      </x:c>
      <x:c r="B29" s="14" t="str">
        <x:v>Slóvakía</x:v>
      </x:c>
      <x:c r="C29" s="20" t="n">
        <x:v>10171</x:v>
      </x:c>
      <x:c r="D29" s="46" t="n">
        <x:f>C29/$C$33</x:f>
        <x:v>0.4712723565934575</x:v>
      </x:c>
      <x:c r="E29" s="23" t="n">
        <x:v>81.1</x:v>
      </x:c>
      <x:c r="F29" s="23" t="n">
        <x:f>E29/D29</x:f>
        <x:v>172.0873267132042</x:v>
      </x:c>
      <x:c r="G29" s="18" t="n">
        <x:f>RANK(F29,$F$5:$F$32,0)</x:f>
        <x:v>1</x:v>
      </x:c>
      <x:c r="H29" s="18" t="n">
        <x:f>RANK(I29,$I$5:$I$32,0)</x:f>
        <x:v>21</x:v>
      </x:c>
      <x:c r="I29" s="19" t="n">
        <x:v>84.7</x:v>
      </x:c>
      <x:c r="J29" s="14" t="str"/>
    </x:row>
    <x:row r="30">
      <x:c r="A30" s="14" t="str">
        <x:v>FI</x:v>
      </x:c>
      <x:c r="B30" s="14" t="str">
        <x:v>Finnland</x:v>
      </x:c>
      <x:c r="C30" s="20" t="n">
        <x:v>28693</x:v>
      </x:c>
      <x:c r="D30" s="46" t="n">
        <x:f>C30/$C$33</x:f>
        <x:v>1.3294875359095542</x:v>
      </x:c>
      <x:c r="E30" s="23" t="n">
        <x:v>127.2</x:v>
      </x:c>
      <x:c r="F30" s="23" t="n">
        <x:f>E30/D30</x:f>
        <x:v>95.67596277837801</x:v>
      </x:c>
      <x:c r="G30" s="18" t="n">
        <x:f>RANK(F30,$F$5:$F$32,0)</x:f>
        <x:v>19</x:v>
      </x:c>
      <x:c r="H30" s="18" t="n">
        <x:f>RANK(I30,$I$5:$I$32,0)</x:f>
        <x:v>5</x:v>
      </x:c>
      <x:c r="I30" s="19" t="n">
        <x:v>123.5</x:v>
      </x:c>
      <x:c r="J30" s="14" t="str"/>
    </x:row>
    <x:row r="31">
      <x:c r="A31" s="14" t="str">
        <x:v>SE</x:v>
      </x:c>
      <x:c r="B31" s="14" t="str">
        <x:v>Svíþjóð</x:v>
      </x:c>
      <x:c r="C31" s="20" t="n">
        <x:v>26915</x:v>
      </x:c>
      <x:c r="D31" s="46" t="n">
        <x:f>C31/$C$33</x:f>
        <x:v>1.2471040682049856</x:v>
      </x:c>
      <x:c r="E31" s="23" t="n">
        <x:v>123</x:v>
      </x:c>
      <x:c r="F31" s="23" t="n">
        <x:f>E31/D31</x:f>
        <x:v>98.62849712056475</x:v>
      </x:c>
      <x:c r="G31" s="18" t="n">
        <x:f>RANK(F31,$F$5:$F$32,0)</x:f>
        <x:v>18</x:v>
      </x:c>
      <x:c r="H31" s="18" t="n">
        <x:f>RANK(I31,$I$5:$I$32,0)</x:f>
        <x:v>8</x:v>
      </x:c>
      <x:c r="I31" s="19" t="n">
        <x:v>115.1</x:v>
      </x:c>
      <x:c r="J31" s="14" t="str"/>
    </x:row>
    <x:row r="32">
      <x:c r="A32" s="40" t="str">
        <x:v>IS</x:v>
      </x:c>
      <x:c r="B32" s="40" t="str">
        <x:v>Ísland</x:v>
      </x:c>
      <x:c r="C32" s="47" t="n">
        <x:v>51875.045388782164</x:v>
      </x:c>
      <x:c r="D32" s="48" t="n">
        <x:f>C32/$C$33</x:f>
        <x:v>2.4036254929470005</x:v>
      </x:c>
      <x:c r="E32" s="49" t="n">
        <x:v>172.7</x:v>
      </x:c>
      <x:c r="F32" s="49" t="n">
        <x:f>E32/D32</x:f>
        <x:v>71.84979544723443</x:v>
      </x:c>
      <x:c r="G32" s="50" t="n">
        <x:f>RANK(F32,$F$5:$F$32,0)</x:f>
        <x:v>27</x:v>
      </x:c>
      <x:c r="H32" s="50" t="n">
        <x:f>RANK(I32,$I$5:$I$32,0)</x:f>
        <x:v>1</x:v>
      </x:c>
      <x:c r="I32" s="42" t="n">
        <x:v>161.7</x:v>
      </x:c>
      <x:c r="J32" s="40" t="str">
        <x:v>Endurgerð með PrrvG-vintage; frumglæran birtir ekki formúlu eða gagnaútgáfu</x:v>
      </x:c>
    </x:row>
    <x:row r="33">
      <x:c r="A33" s="43" t="str">
        <x:v>EU27_2020</x:v>
      </x:c>
      <x:c r="B33" s="43" t="str">
        <x:v>ESB-27</x:v>
      </x:c>
      <x:c r="C33" s="51" t="n">
        <x:v>21582</x:v>
      </x:c>
      <x:c r="D33" s="52" t="n">
        <x:f>C33/$C$33</x:f>
        <x:v>1</x:v>
      </x:c>
      <x:c r="E33" s="53" t="n">
        <x:v>100</x:v>
      </x:c>
      <x:c r="F33" s="53" t="n">
        <x:f>E33/D33</x:f>
        <x:v>100</x:v>
      </x:c>
      <x:c r="G33" s="43"/>
      <x:c r="H33" s="43"/>
      <x:c r="I33" s="45" t="n">
        <x:v>100</x:v>
      </x:c>
      <x:c r="J33" s="43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" hidden="0" customWidth="1"/>
    <x:col min="3" max="3" width="18" hidden="0" customWidth="1"/>
    <x:col min="4" max="4" width="13" hidden="0" customWidth="1"/>
    <x:col min="5" max="5" width="32" hidden="0" customWidth="1"/>
    <x:col min="6" max="6" width="10" hidden="0" customWidth="1"/>
    <x:col min="7" max="7" width="18" hidden="0" customWidth="1"/>
    <x:col min="8" max="8" width="18" hidden="0" customWidth="1"/>
    <x:col min="9" max="9" width="18" hidden="0" customWidth="1"/>
    <x:col min="10" max="10" width="20" hidden="0" customWidth="1"/>
    <x:col min="11" max="11" width="18" hidden="0" customWidth="1"/>
    <x:col min="12" max="12" width="20" hidden="0" customWidth="1"/>
    <x:col min="13" max="13" width="24" hidden="0" customWidth="1"/>
  </x:cols>
  <x:sheetData>
    <x:row r="1" ht="30" customHeight="1">
      <x:c r="A1" s="3" t="str">
        <x:v>Samanburður við glæru 20</x:v>
      </x:c>
      <x:c r="B1" s="3" t="str">
        <x:v>Samanburður við glæru 20</x:v>
      </x:c>
      <x:c r="C1" s="3" t="str">
        <x:v>Samanburður við glæru 20</x:v>
      </x:c>
      <x:c r="D1" s="3" t="str">
        <x:v>Samanburður við glæru 20</x:v>
      </x:c>
      <x:c r="E1" s="3" t="str">
        <x:v>Samanburður við glæru 20</x:v>
      </x:c>
      <x:c r="F1" s="3" t="str">
        <x:v>Samanburður við glæru 20</x:v>
      </x:c>
      <x:c r="G1" s="3" t="str">
        <x:v>Samanburður við glæru 20</x:v>
      </x:c>
      <x:c r="H1" s="3" t="str">
        <x:v>Samanburður við glæru 20</x:v>
      </x:c>
      <x:c r="I1" s="3" t="str">
        <x:v>Samanburður við glæru 20</x:v>
      </x:c>
      <x:c r="J1" s="3" t="str">
        <x:v>Samanburður við glæru 20</x:v>
      </x:c>
      <x:c r="K1" s="3" t="str">
        <x:v>Samanburður við glæru 20</x:v>
      </x:c>
      <x:c r="L1" s="3" t="str">
        <x:v>Samanburður við glæru 20</x:v>
      </x:c>
      <x:c r="M1" s="3" t="str">
        <x:v>Samanburður við glæru 20</x:v>
      </x:c>
    </x:row>
    <x:row r="2" ht="32" customHeight="1">
      <x:c r="A2" s="7" t="str">
        <x:v>Núverandi Eurostat-gagnaútgáfa og lokaendurgerð bornar við allar 114 birtar heiltölur</x:v>
      </x:c>
      <x:c r="B2" s="7" t="str">
        <x:v>Núverandi Eurostat-gagnaútgáfa og lokaendurgerð bornar við allar 114 birtar heiltölur</x:v>
      </x:c>
      <x:c r="C2" s="7" t="str">
        <x:v>Núverandi Eurostat-gagnaútgáfa og lokaendurgerð bornar við allar 114 birtar heiltölur</x:v>
      </x:c>
      <x:c r="D2" s="7" t="str">
        <x:v>Núverandi Eurostat-gagnaútgáfa og lokaendurgerð bornar við allar 114 birtar heiltölur</x:v>
      </x:c>
      <x:c r="E2" s="7" t="str">
        <x:v>Núverandi Eurostat-gagnaútgáfa og lokaendurgerð bornar við allar 114 birtar heiltölur</x:v>
      </x:c>
      <x:c r="F2" s="7" t="str">
        <x:v>Núverandi Eurostat-gagnaútgáfa og lokaendurgerð bornar við allar 114 birtar heiltölur</x:v>
      </x:c>
      <x:c r="G2" s="7" t="str">
        <x:v>Núverandi Eurostat-gagnaútgáfa og lokaendurgerð bornar við allar 114 birtar heiltölur</x:v>
      </x:c>
      <x:c r="H2" s="7" t="str">
        <x:v>Núverandi Eurostat-gagnaútgáfa og lokaendurgerð bornar við allar 114 birtar heiltölur</x:v>
      </x:c>
      <x:c r="I2" s="7" t="str">
        <x:v>Núverandi Eurostat-gagnaútgáfa og lokaendurgerð bornar við allar 114 birtar heiltölur</x:v>
      </x:c>
      <x:c r="J2" s="7" t="str">
        <x:v>Núverandi Eurostat-gagnaútgáfa og lokaendurgerð bornar við allar 114 birtar heiltölur</x:v>
      </x:c>
      <x:c r="K2" s="7" t="str">
        <x:v>Núverandi Eurostat-gagnaútgáfa og lokaendurgerð bornar við allar 114 birtar heiltölur</x:v>
      </x:c>
      <x:c r="L2" s="7" t="str">
        <x:v>Núverandi Eurostat-gagnaútgáfa og lokaendurgerð bornar við allar 114 birtar heiltölur</x:v>
      </x:c>
      <x:c r="M2" s="7" t="str">
        <x:v>Núverandi Eurostat-gagnaútgáfa og lokaendurgerð bornar við allar 114 birtar heiltölur</x:v>
      </x:c>
    </x:row>
    <x:row r="4">
      <x:c r="A4" s="12" t="str">
        <x:v>röð</x:v>
      </x:c>
      <x:c r="B4" s="12" t="str">
        <x:v>geo</x:v>
      </x:c>
      <x:c r="C4" s="12" t="str">
        <x:v>land</x:v>
      </x:c>
      <x:c r="D4" s="12" t="str">
        <x:v>flokkur</x:v>
      </x:c>
      <x:c r="E4" s="12" t="str">
        <x:v>heiti</x:v>
      </x:c>
      <x:c r="F4" s="12" t="str">
        <x:v>birt</x:v>
      </x:c>
      <x:c r="G4" s="12" t="str">
        <x:v>núverandi endurgerð</x:v>
      </x:c>
      <x:c r="H4" s="12" t="str">
        <x:v>núverandi námundað</x:v>
      </x:c>
      <x:c r="I4" s="12" t="str">
        <x:v>lokaendurgerð</x:v>
      </x:c>
      <x:c r="J4" s="12" t="str">
        <x:v>lokaendurgerð námundað</x:v>
      </x:c>
      <x:c r="K4" s="12" t="str">
        <x:v>frávik núverandi</x:v>
      </x:c>
      <x:c r="L4" s="12" t="str">
        <x:v>frávik lokaendurgerðar</x:v>
      </x:c>
      <x:c r="M4" s="12" t="str">
        <x:v>staða</x:v>
      </x:c>
    </x:row>
    <x:row r="5">
      <x:c r="A5" s="14" t="n">
        <x:v>1</x:v>
      </x:c>
      <x:c r="B5" s="14" t="str">
        <x:v>LU</x:v>
      </x:c>
      <x:c r="C5" s="14" t="str">
        <x:v>Lúxemborg</x:v>
      </x:c>
      <x:c r="D5" s="14" t="str">
        <x:v>A01</x:v>
      </x:c>
      <x:c r="E5" s="14" t="str">
        <x:v>Einstaklingsbundin neysla</x:v>
      </x:c>
      <x:c r="F5" s="18" t="n">
        <x:v>64</x:v>
      </x:c>
      <x:c r="G5" s="46" t="n">
        <x:v>64.0250280517333</x:v>
      </x:c>
      <x:c r="H5" s="18" t="n">
        <x:v>64</x:v>
      </x:c>
      <x:c r="I5" s="46" t="n">
        <x:v>64.0250280517333</x:v>
      </x:c>
      <x:c r="J5" s="18" t="n">
        <x:v>64</x:v>
      </x:c>
      <x:c r="K5" s="46" t="n">
        <x:v>0.025028051733301027</x:v>
      </x:c>
      <x:c r="L5" s="46" t="n">
        <x:v>0.025028051733301027</x:v>
      </x:c>
      <x:c r="M5" s="14" t="str">
        <x:v>SAMHLJÓÐA</x:v>
      </x:c>
    </x:row>
    <x:row r="6">
      <x:c r="A6" s="14" t="n">
        <x:v>1</x:v>
      </x:c>
      <x:c r="B6" s="14" t="str">
        <x:v>LU</x:v>
      </x:c>
      <x:c r="C6" s="14" t="str">
        <x:v>Lúxemborg</x:v>
      </x:c>
      <x:c r="D6" s="14" t="str">
        <x:v>A0101</x:v>
      </x:c>
      <x:c r="E6" s="14" t="str">
        <x:v>Matur og óáfengir drykkir</x:v>
      </x:c>
      <x:c r="F6" s="18" t="n">
        <x:v>53</x:v>
      </x:c>
      <x:c r="G6" s="46" t="n">
        <x:v>53.021390184846155</x:v>
      </x:c>
      <x:c r="H6" s="18" t="n">
        <x:v>53</x:v>
      </x:c>
      <x:c r="I6" s="46" t="n">
        <x:v>53.021390184846155</x:v>
      </x:c>
      <x:c r="J6" s="18" t="n">
        <x:v>53</x:v>
      </x:c>
      <x:c r="K6" s="46" t="n">
        <x:v>0.021390184846154625</x:v>
      </x:c>
      <x:c r="L6" s="46" t="n">
        <x:v>0.021390184846154625</x:v>
      </x:c>
      <x:c r="M6" s="14" t="str">
        <x:v>SAMHLJÓÐA</x:v>
      </x:c>
    </x:row>
    <x:row r="7">
      <x:c r="A7" s="14" t="n">
        <x:v>1</x:v>
      </x:c>
      <x:c r="B7" s="14" t="str">
        <x:v>LU</x:v>
      </x:c>
      <x:c r="C7" s="14" t="str">
        <x:v>Lúxemborg</x:v>
      </x:c>
      <x:c r="D7" s="14" t="str">
        <x:v>A0103</x:v>
      </x:c>
      <x:c r="E7" s="14" t="str">
        <x:v>Föt og skór</x:v>
      </x:c>
      <x:c r="F7" s="18" t="n">
        <x:v>46</x:v>
      </x:c>
      <x:c r="G7" s="46" t="n">
        <x:v>46.351231323451245</x:v>
      </x:c>
      <x:c r="H7" s="18" t="n">
        <x:v>46</x:v>
      </x:c>
      <x:c r="I7" s="46" t="n">
        <x:v>46.351231323451245</x:v>
      </x:c>
      <x:c r="J7" s="18" t="n">
        <x:v>46</x:v>
      </x:c>
      <x:c r="K7" s="46" t="n">
        <x:v>0.35123132345124475</x:v>
      </x:c>
      <x:c r="L7" s="46" t="n">
        <x:v>0.35123132345124475</x:v>
      </x:c>
      <x:c r="M7" s="14" t="str">
        <x:v>SAMHLJÓÐA</x:v>
      </x:c>
    </x:row>
    <x:row r="8">
      <x:c r="A8" s="14" t="n">
        <x:v>1</x:v>
      </x:c>
      <x:c r="B8" s="14" t="str">
        <x:v>LU</x:v>
      </x:c>
      <x:c r="C8" s="14" t="str">
        <x:v>Lúxemborg</x:v>
      </x:c>
      <x:c r="D8" s="14" t="str">
        <x:v>A010405</x:v>
      </x:c>
      <x:c r="E8" s="14" t="str">
        <x:v>Rafmagn, gas og annað eldsneyti</x:v>
      </x:c>
      <x:c r="F8" s="18" t="n">
        <x:v>32</x:v>
      </x:c>
      <x:c r="G8" s="46" t="n">
        <x:v>32.203696923167776</x:v>
      </x:c>
      <x:c r="H8" s="18" t="n">
        <x:v>32</x:v>
      </x:c>
      <x:c r="I8" s="46" t="n">
        <x:v>32.203696923167776</x:v>
      </x:c>
      <x:c r="J8" s="18" t="n">
        <x:v>32</x:v>
      </x:c>
      <x:c r="K8" s="46" t="n">
        <x:v>0.20369692316777588</x:v>
      </x:c>
      <x:c r="L8" s="46" t="n">
        <x:v>0.20369692316777588</x:v>
      </x:c>
      <x:c r="M8" s="14" t="str">
        <x:v>SAMHLJÓÐA</x:v>
      </x:c>
    </x:row>
    <x:row r="9">
      <x:c r="A9" s="14" t="n">
        <x:v>1</x:v>
      </x:c>
      <x:c r="B9" s="14" t="str">
        <x:v>LU</x:v>
      </x:c>
      <x:c r="C9" s="14" t="str">
        <x:v>Lúxemborg</x:v>
      </x:c>
      <x:c r="D9" s="14" t="str">
        <x:v>A010703</x:v>
      </x:c>
      <x:c r="E9" s="14" t="str">
        <x:v>Flutningaþjónusta</x:v>
      </x:c>
      <x:c r="F9" s="18" t="n">
        <x:v>42</x:v>
      </x:c>
      <x:c r="G9" s="46" t="n">
        <x:v>41.80532687651332</x:v>
      </x:c>
      <x:c r="H9" s="18" t="n">
        <x:v>42</x:v>
      </x:c>
      <x:c r="I9" s="46" t="n">
        <x:v>41.80532687651332</x:v>
      </x:c>
      <x:c r="J9" s="18" t="n">
        <x:v>42</x:v>
      </x:c>
      <x:c r="K9" s="46" t="n">
        <x:v>-0.1946731234866803</x:v>
      </x:c>
      <x:c r="L9" s="46" t="n">
        <x:v>-0.1946731234866803</x:v>
      </x:c>
      <x:c r="M9" s="14" t="str">
        <x:v>SAMHLJÓÐA</x:v>
      </x:c>
    </x:row>
    <x:row r="10">
      <x:c r="A10" s="14" t="n">
        <x:v>1</x:v>
      </x:c>
      <x:c r="B10" s="14" t="str">
        <x:v>LU</x:v>
      </x:c>
      <x:c r="C10" s="14" t="str">
        <x:v>Lúxemborg</x:v>
      </x:c>
      <x:c r="D10" s="14" t="str">
        <x:v>A0111</x:v>
      </x:c>
      <x:c r="E10" s="14" t="str">
        <x:v>Veitingastaðir og hótel</x:v>
      </x:c>
      <x:c r="F10" s="18" t="n">
        <x:v>53</x:v>
      </x:c>
      <x:c r="G10" s="46" t="n">
        <x:v>52.51156912537648</x:v>
      </x:c>
      <x:c r="H10" s="18" t="n">
        <x:v>53</x:v>
      </x:c>
      <x:c r="I10" s="46" t="n">
        <x:v>52.51156912537648</x:v>
      </x:c>
      <x:c r="J10" s="18" t="n">
        <x:v>53</x:v>
      </x:c>
      <x:c r="K10" s="46" t="n">
        <x:v>-0.48843087462351775</x:v>
      </x:c>
      <x:c r="L10" s="46" t="n">
        <x:v>-0.48843087462351775</x:v>
      </x:c>
      <x:c r="M10" s="14" t="str">
        <x:v>SAMHLJÓÐA</x:v>
      </x:c>
    </x:row>
    <x:row r="11">
      <x:c r="A11" s="14" t="n">
        <x:v>2</x:v>
      </x:c>
      <x:c r="B11" s="14" t="str">
        <x:v>NO</x:v>
      </x:c>
      <x:c r="C11" s="14" t="str">
        <x:v>Noregur</x:v>
      </x:c>
      <x:c r="D11" s="14" t="str">
        <x:v>A01</x:v>
      </x:c>
      <x:c r="E11" s="14" t="str">
        <x:v>Einstaklingsbundin neysla</x:v>
      </x:c>
      <x:c r="F11" s="18" t="n">
        <x:v>72</x:v>
      </x:c>
      <x:c r="G11" s="46" t="n">
        <x:v>71.58058468539771</x:v>
      </x:c>
      <x:c r="H11" s="18" t="n">
        <x:v>72</x:v>
      </x:c>
      <x:c r="I11" s="46" t="n">
        <x:v>71.58058468539771</x:v>
      </x:c>
      <x:c r="J11" s="18" t="n">
        <x:v>72</x:v>
      </x:c>
      <x:c r="K11" s="46" t="n">
        <x:v>-0.41941531460228987</x:v>
      </x:c>
      <x:c r="L11" s="46" t="n">
        <x:v>-0.41941531460228987</x:v>
      </x:c>
      <x:c r="M11" s="14" t="str">
        <x:v>SAMHLJÓÐA</x:v>
      </x:c>
    </x:row>
    <x:row r="12">
      <x:c r="A12" s="14" t="n">
        <x:v>2</x:v>
      </x:c>
      <x:c r="B12" s="14" t="str">
        <x:v>NO</x:v>
      </x:c>
      <x:c r="C12" s="14" t="str">
        <x:v>Noregur</x:v>
      </x:c>
      <x:c r="D12" s="14" t="str">
        <x:v>A0101</x:v>
      </x:c>
      <x:c r="E12" s="14" t="str">
        <x:v>Matur og óáfengir drykkir</x:v>
      </x:c>
      <x:c r="F12" s="18" t="n">
        <x:v>70</x:v>
      </x:c>
      <x:c r="G12" s="46" t="n">
        <x:v>70.03260783537792</x:v>
      </x:c>
      <x:c r="H12" s="18" t="n">
        <x:v>70</x:v>
      </x:c>
      <x:c r="I12" s="46" t="n">
        <x:v>70.03260783537792</x:v>
      </x:c>
      <x:c r="J12" s="18" t="n">
        <x:v>70</x:v>
      </x:c>
      <x:c r="K12" s="46" t="n">
        <x:v>0.03260783537791667</x:v>
      </x:c>
      <x:c r="L12" s="46" t="n">
        <x:v>0.03260783537791667</x:v>
      </x:c>
      <x:c r="M12" s="14" t="str">
        <x:v>SAMHLJÓÐA</x:v>
      </x:c>
    </x:row>
    <x:row r="13">
      <x:c r="A13" s="14" t="n">
        <x:v>2</x:v>
      </x:c>
      <x:c r="B13" s="14" t="str">
        <x:v>NO</x:v>
      </x:c>
      <x:c r="C13" s="14" t="str">
        <x:v>Noregur</x:v>
      </x:c>
      <x:c r="D13" s="14" t="str">
        <x:v>A0103</x:v>
      </x:c>
      <x:c r="E13" s="14" t="str">
        <x:v>Föt og skór</x:v>
      </x:c>
      <x:c r="F13" s="18" t="n">
        <x:v>63</x:v>
      </x:c>
      <x:c r="G13" s="46" t="n">
        <x:v>62.773130193905814</x:v>
      </x:c>
      <x:c r="H13" s="18" t="n">
        <x:v>63</x:v>
      </x:c>
      <x:c r="I13" s="46" t="n">
        <x:v>62.773130193905814</x:v>
      </x:c>
      <x:c r="J13" s="18" t="n">
        <x:v>63</x:v>
      </x:c>
      <x:c r="K13" s="46" t="n">
        <x:v>-0.22686980609418583</x:v>
      </x:c>
      <x:c r="L13" s="46" t="n">
        <x:v>-0.22686980609418583</x:v>
      </x:c>
      <x:c r="M13" s="14" t="str">
        <x:v>SAMHLJÓÐA</x:v>
      </x:c>
    </x:row>
    <x:row r="14">
      <x:c r="A14" s="14" t="n">
        <x:v>2</x:v>
      </x:c>
      <x:c r="B14" s="14" t="str">
        <x:v>NO</x:v>
      </x:c>
      <x:c r="C14" s="14" t="str">
        <x:v>Noregur</x:v>
      </x:c>
      <x:c r="D14" s="14" t="str">
        <x:v>A010405</x:v>
      </x:c>
      <x:c r="E14" s="14" t="str">
        <x:v>Rafmagn, gas og annað eldsneyti</x:v>
      </x:c>
      <x:c r="F14" s="18" t="n">
        <x:v>29</x:v>
      </x:c>
      <x:c r="G14" s="46" t="n">
        <x:v>29.037910565888406</x:v>
      </x:c>
      <x:c r="H14" s="18" t="n">
        <x:v>29</x:v>
      </x:c>
      <x:c r="I14" s="46" t="n">
        <x:v>29.037910565888406</x:v>
      </x:c>
      <x:c r="J14" s="18" t="n">
        <x:v>29</x:v>
      </x:c>
      <x:c r="K14" s="46" t="n">
        <x:v>0.03791056588840647</x:v>
      </x:c>
      <x:c r="L14" s="46" t="n">
        <x:v>0.03791056588840647</x:v>
      </x:c>
      <x:c r="M14" s="14" t="str">
        <x:v>SAMHLJÓÐA</x:v>
      </x:c>
    </x:row>
    <x:row r="15">
      <x:c r="A15" s="14" t="n">
        <x:v>2</x:v>
      </x:c>
      <x:c r="B15" s="14" t="str">
        <x:v>NO</x:v>
      </x:c>
      <x:c r="C15" s="14" t="str">
        <x:v>Noregur</x:v>
      </x:c>
      <x:c r="D15" s="14" t="str">
        <x:v>A010703</x:v>
      </x:c>
      <x:c r="E15" s="14" t="str">
        <x:v>Flutningaþjónusta</x:v>
      </x:c>
      <x:c r="F15" s="18" t="n">
        <x:v>86</x:v>
      </x:c>
      <x:c r="G15" s="46" t="n">
        <x:v>86.25967550455086</x:v>
      </x:c>
      <x:c r="H15" s="18" t="n">
        <x:v>86</x:v>
      </x:c>
      <x:c r="I15" s="46" t="n">
        <x:v>86.25967550455086</x:v>
      </x:c>
      <x:c r="J15" s="18" t="n">
        <x:v>86</x:v>
      </x:c>
      <x:c r="K15" s="46" t="n">
        <x:v>0.25967550455085586</x:v>
      </x:c>
      <x:c r="L15" s="46" t="n">
        <x:v>0.25967550455085586</x:v>
      </x:c>
      <x:c r="M15" s="14" t="str">
        <x:v>SAMHLJÓÐA</x:v>
      </x:c>
    </x:row>
    <x:row r="16">
      <x:c r="A16" s="14" t="n">
        <x:v>2</x:v>
      </x:c>
      <x:c r="B16" s="14" t="str">
        <x:v>NO</x:v>
      </x:c>
      <x:c r="C16" s="14" t="str">
        <x:v>Noregur</x:v>
      </x:c>
      <x:c r="D16" s="14" t="str">
        <x:v>A0111</x:v>
      </x:c>
      <x:c r="E16" s="14" t="str">
        <x:v>Veitingastaðir og hótel</x:v>
      </x:c>
      <x:c r="F16" s="18" t="n">
        <x:v>75</x:v>
      </x:c>
      <x:c r="G16" s="46" t="n">
        <x:v>74.72991689750693</x:v>
      </x:c>
      <x:c r="H16" s="18" t="n">
        <x:v>75</x:v>
      </x:c>
      <x:c r="I16" s="46" t="n">
        <x:v>74.72991689750693</x:v>
      </x:c>
      <x:c r="J16" s="18" t="n">
        <x:v>75</x:v>
      </x:c>
      <x:c r="K16" s="46" t="n">
        <x:v>-0.270083102493075</x:v>
      </x:c>
      <x:c r="L16" s="46" t="n">
        <x:v>-0.270083102493075</x:v>
      </x:c>
      <x:c r="M16" s="14" t="str">
        <x:v>SAMHLJÓÐA</x:v>
      </x:c>
    </x:row>
    <x:row r="17">
      <x:c r="A17" s="14" t="n">
        <x:v>3</x:v>
      </x:c>
      <x:c r="B17" s="14" t="str">
        <x:v>IS</x:v>
      </x:c>
      <x:c r="C17" s="14" t="str">
        <x:v>Ísland</x:v>
      </x:c>
      <x:c r="D17" s="14" t="str">
        <x:v>A01</x:v>
      </x:c>
      <x:c r="E17" s="14" t="str">
        <x:v>Einstaklingsbundin neysla</x:v>
      </x:c>
      <x:c r="F17" s="18" t="n">
        <x:v>72</x:v>
      </x:c>
      <x:c r="G17" s="46" t="n">
        <x:v>71.84979544723443</x:v>
      </x:c>
      <x:c r="H17" s="18" t="n">
        <x:v>72</x:v>
      </x:c>
      <x:c r="I17" s="46" t="n">
        <x:v>71.84979544723443</x:v>
      </x:c>
      <x:c r="J17" s="18" t="n">
        <x:v>72</x:v>
      </x:c>
      <x:c r="K17" s="46" t="n">
        <x:v>-0.15020455276557243</x:v>
      </x:c>
      <x:c r="L17" s="46" t="n">
        <x:v>-0.15020455276557243</x:v>
      </x:c>
      <x:c r="M17" s="14" t="str">
        <x:v>SAMHLJÓÐA</x:v>
      </x:c>
    </x:row>
    <x:row r="18">
      <x:c r="A18" s="14" t="n">
        <x:v>3</x:v>
      </x:c>
      <x:c r="B18" s="14" t="str">
        <x:v>IS</x:v>
      </x:c>
      <x:c r="C18" s="14" t="str">
        <x:v>Ísland</x:v>
      </x:c>
      <x:c r="D18" s="14" t="str">
        <x:v>A0101</x:v>
      </x:c>
      <x:c r="E18" s="14" t="str">
        <x:v>Matur og óáfengir drykkir</x:v>
      </x:c>
      <x:c r="F18" s="18" t="n">
        <x:v>60</x:v>
      </x:c>
      <x:c r="G18" s="46" t="n">
        <x:v>59.86789556952539</x:v>
      </x:c>
      <x:c r="H18" s="18" t="n">
        <x:v>60</x:v>
      </x:c>
      <x:c r="I18" s="46" t="n">
        <x:v>59.86789556952539</x:v>
      </x:c>
      <x:c r="J18" s="18" t="n">
        <x:v>60</x:v>
      </x:c>
      <x:c r="K18" s="46" t="n">
        <x:v>-0.1321044304746124</x:v>
      </x:c>
      <x:c r="L18" s="46" t="n">
        <x:v>-0.1321044304746124</x:v>
      </x:c>
      <x:c r="M18" s="14" t="str">
        <x:v>SAMHLJÓÐA</x:v>
      </x:c>
    </x:row>
    <x:row r="19">
      <x:c r="A19" s="14" t="n">
        <x:v>3</x:v>
      </x:c>
      <x:c r="B19" s="14" t="str">
        <x:v>IS</x:v>
      </x:c>
      <x:c r="C19" s="14" t="str">
        <x:v>Ísland</x:v>
      </x:c>
      <x:c r="D19" s="14" t="str">
        <x:v>A0103</x:v>
      </x:c>
      <x:c r="E19" s="14" t="str">
        <x:v>Föt og skór</x:v>
      </x:c>
      <x:c r="F19" s="18" t="n">
        <x:v>60</x:v>
      </x:c>
      <x:c r="G19" s="46" t="n">
        <x:v>59.65987647442627</x:v>
      </x:c>
      <x:c r="H19" s="18" t="n">
        <x:v>60</x:v>
      </x:c>
      <x:c r="I19" s="46" t="n">
        <x:v>59.65987647442627</x:v>
      </x:c>
      <x:c r="J19" s="18" t="n">
        <x:v>60</x:v>
      </x:c>
      <x:c r="K19" s="46" t="n">
        <x:v>-0.3401235255737305</x:v>
      </x:c>
      <x:c r="L19" s="46" t="n">
        <x:v>-0.3401235255737305</x:v>
      </x:c>
      <x:c r="M19" s="14" t="str">
        <x:v>SAMHLJÓÐA</x:v>
      </x:c>
    </x:row>
    <x:row r="20">
      <x:c r="A20" s="14" t="n">
        <x:v>3</x:v>
      </x:c>
      <x:c r="B20" s="14" t="str">
        <x:v>IS</x:v>
      </x:c>
      <x:c r="C20" s="14" t="str">
        <x:v>Ísland</x:v>
      </x:c>
      <x:c r="D20" s="14" t="str">
        <x:v>A010405</x:v>
      </x:c>
      <x:c r="E20" s="14" t="str">
        <x:v>Rafmagn, gas og annað eldsneyti</x:v>
      </x:c>
      <x:c r="F20" s="18" t="n">
        <x:v>27</x:v>
      </x:c>
      <x:c r="G20" s="46" t="n">
        <x:v>26.709651810726406</x:v>
      </x:c>
      <x:c r="H20" s="18" t="n">
        <x:v>27</x:v>
      </x:c>
      <x:c r="I20" s="46" t="n">
        <x:v>26.709651810726406</x:v>
      </x:c>
      <x:c r="J20" s="18" t="n">
        <x:v>27</x:v>
      </x:c>
      <x:c r="K20" s="46" t="n">
        <x:v>-0.29034818927359396</x:v>
      </x:c>
      <x:c r="L20" s="46" t="n">
        <x:v>-0.29034818927359396</x:v>
      </x:c>
      <x:c r="M20" s="14" t="str">
        <x:v>SAMHLJÓÐA</x:v>
      </x:c>
    </x:row>
    <x:row r="21">
      <x:c r="A21" s="14" t="n">
        <x:v>3</x:v>
      </x:c>
      <x:c r="B21" s="14" t="str">
        <x:v>IS</x:v>
      </x:c>
      <x:c r="C21" s="14" t="str">
        <x:v>Ísland</x:v>
      </x:c>
      <x:c r="D21" s="14" t="str">
        <x:v>A010703</x:v>
      </x:c>
      <x:c r="E21" s="14" t="str">
        <x:v>Flutningaþjónusta</x:v>
      </x:c>
      <x:c r="F21" s="18" t="n">
        <x:v>71</x:v>
      </x:c>
      <x:c r="G21" s="46" t="n">
        <x:v>70.5600770576199</x:v>
      </x:c>
      <x:c r="H21" s="18" t="n">
        <x:v>71</x:v>
      </x:c>
      <x:c r="I21" s="46" t="n">
        <x:v>70.5600770576199</x:v>
      </x:c>
      <x:c r="J21" s="18" t="n">
        <x:v>71</x:v>
      </x:c>
      <x:c r="K21" s="46" t="n">
        <x:v>-0.4399229423800932</x:v>
      </x:c>
      <x:c r="L21" s="46" t="n">
        <x:v>-0.4399229423800932</x:v>
      </x:c>
      <x:c r="M21" s="14" t="str">
        <x:v>SAMHLJÓÐA</x:v>
      </x:c>
    </x:row>
    <x:row r="22">
      <x:c r="A22" s="14" t="n">
        <x:v>3</x:v>
      </x:c>
      <x:c r="B22" s="14" t="str">
        <x:v>IS</x:v>
      </x:c>
      <x:c r="C22" s="14" t="str">
        <x:v>Ísland</x:v>
      </x:c>
      <x:c r="D22" s="14" t="str">
        <x:v>A0111</x:v>
      </x:c>
      <x:c r="E22" s="14" t="str">
        <x:v>Veitingastaðir og hótel</x:v>
      </x:c>
      <x:c r="F22" s="18" t="n">
        <x:v>70</x:v>
      </x:c>
      <x:c r="G22" s="46" t="n">
        <x:v>69.60318922016398</x:v>
      </x:c>
      <x:c r="H22" s="18" t="n">
        <x:v>70</x:v>
      </x:c>
      <x:c r="I22" s="46" t="n">
        <x:v>69.60318922016398</x:v>
      </x:c>
      <x:c r="J22" s="18" t="n">
        <x:v>70</x:v>
      </x:c>
      <x:c r="K22" s="46" t="n">
        <x:v>-0.39681077983601654</x:v>
      </x:c>
      <x:c r="L22" s="46" t="n">
        <x:v>-0.39681077983601654</x:v>
      </x:c>
      <x:c r="M22" s="14" t="str">
        <x:v>SAMHLJÓÐA</x:v>
      </x:c>
    </x:row>
    <x:row r="23">
      <x:c r="A23" s="14" t="n">
        <x:v>4</x:v>
      </x:c>
      <x:c r="B23" s="14" t="str">
        <x:v>AT</x:v>
      </x:c>
      <x:c r="C23" s="14" t="str">
        <x:v>Austurríki</x:v>
      </x:c>
      <x:c r="D23" s="14" t="str">
        <x:v>A01</x:v>
      </x:c>
      <x:c r="E23" s="14" t="str">
        <x:v>Einstaklingsbundin neysla</x:v>
      </x:c>
      <x:c r="F23" s="18" t="n">
        <x:v>78</x:v>
      </x:c>
      <x:c r="G23" s="46" t="n">
        <x:v>77.78878048780489</x:v>
      </x:c>
      <x:c r="H23" s="18" t="n">
        <x:v>78</x:v>
      </x:c>
      <x:c r="I23" s="46" t="n">
        <x:v>77.78878048780489</x:v>
      </x:c>
      <x:c r="J23" s="18" t="n">
        <x:v>78</x:v>
      </x:c>
      <x:c r="K23" s="46" t="n">
        <x:v>-0.2112195121951146</x:v>
      </x:c>
      <x:c r="L23" s="46" t="n">
        <x:v>-0.2112195121951146</x:v>
      </x:c>
      <x:c r="M23" s="14" t="str">
        <x:v>SAMHLJÓÐA</x:v>
      </x:c>
    </x:row>
    <x:row r="24">
      <x:c r="A24" s="14" t="n">
        <x:v>4</x:v>
      </x:c>
      <x:c r="B24" s="14" t="str">
        <x:v>AT</x:v>
      </x:c>
      <x:c r="C24" s="14" t="str">
        <x:v>Austurríki</x:v>
      </x:c>
      <x:c r="D24" s="14" t="str">
        <x:v>A0101</x:v>
      </x:c>
      <x:c r="E24" s="14" t="str">
        <x:v>Matur og óáfengir drykkir</x:v>
      </x:c>
      <x:c r="F24" s="18" t="n">
        <x:v>72</x:v>
      </x:c>
      <x:c r="G24" s="46" t="n">
        <x:v>71.810027100271</x:v>
      </x:c>
      <x:c r="H24" s="18" t="n">
        <x:v>72</x:v>
      </x:c>
      <x:c r="I24" s="46" t="n">
        <x:v>71.810027100271</x:v>
      </x:c>
      <x:c r="J24" s="18" t="n">
        <x:v>72</x:v>
      </x:c>
      <x:c r="K24" s="46" t="n">
        <x:v>-0.18997289972899978</x:v>
      </x:c>
      <x:c r="L24" s="46" t="n">
        <x:v>-0.18997289972899978</x:v>
      </x:c>
      <x:c r="M24" s="14" t="str">
        <x:v>SAMHLJÓÐA</x:v>
      </x:c>
    </x:row>
    <x:row r="25">
      <x:c r="A25" s="14" t="n">
        <x:v>4</x:v>
      </x:c>
      <x:c r="B25" s="14" t="str">
        <x:v>AT</x:v>
      </x:c>
      <x:c r="C25" s="14" t="str">
        <x:v>Austurríki</x:v>
      </x:c>
      <x:c r="D25" s="14" t="str">
        <x:v>A0103</x:v>
      </x:c>
      <x:c r="E25" s="14" t="str">
        <x:v>Föt og skór</x:v>
      </x:c>
      <x:c r="F25" s="18" t="n">
        <x:v>69</x:v>
      </x:c>
      <x:c r="G25" s="46" t="n">
        <x:v>68.69067750677507</x:v>
      </x:c>
      <x:c r="H25" s="18" t="n">
        <x:v>69</x:v>
      </x:c>
      <x:c r="I25" s="46" t="n">
        <x:v>68.69067750677507</x:v>
      </x:c>
      <x:c r="J25" s="18" t="n">
        <x:v>69</x:v>
      </x:c>
      <x:c r="K25" s="46" t="n">
        <x:v>-0.30932249322492567</x:v>
      </x:c>
      <x:c r="L25" s="46" t="n">
        <x:v>-0.30932249322492567</x:v>
      </x:c>
      <x:c r="M25" s="14" t="str">
        <x:v>SAMHLJÓÐA</x:v>
      </x:c>
    </x:row>
    <x:row r="26">
      <x:c r="A26" s="14" t="n">
        <x:v>4</x:v>
      </x:c>
      <x:c r="B26" s="14" t="str">
        <x:v>AT</x:v>
      </x:c>
      <x:c r="C26" s="14" t="str">
        <x:v>Austurríki</x:v>
      </x:c>
      <x:c r="D26" s="14" t="str">
        <x:v>A010405</x:v>
      </x:c>
      <x:c r="E26" s="14" t="str">
        <x:v>Rafmagn, gas og annað eldsneyti</x:v>
      </x:c>
      <x:c r="F26" s="18" t="n">
        <x:v>69</x:v>
      </x:c>
      <x:c r="G26" s="46" t="n">
        <x:v>69.27555555555556</x:v>
      </x:c>
      <x:c r="H26" s="18" t="n">
        <x:v>69</x:v>
      </x:c>
      <x:c r="I26" s="46" t="n">
        <x:v>69.27555555555556</x:v>
      </x:c>
      <x:c r="J26" s="18" t="n">
        <x:v>69</x:v>
      </x:c>
      <x:c r="K26" s="46" t="n">
        <x:v>0.275555555555556</x:v>
      </x:c>
      <x:c r="L26" s="46" t="n">
        <x:v>0.275555555555556</x:v>
      </x:c>
      <x:c r="M26" s="14" t="str">
        <x:v>SAMHLJÓÐA</x:v>
      </x:c>
    </x:row>
    <x:row r="27">
      <x:c r="A27" s="14" t="n">
        <x:v>4</x:v>
      </x:c>
      <x:c r="B27" s="14" t="str">
        <x:v>AT</x:v>
      </x:c>
      <x:c r="C27" s="14" t="str">
        <x:v>Austurríki</x:v>
      </x:c>
      <x:c r="D27" s="14" t="str">
        <x:v>A010703</x:v>
      </x:c>
      <x:c r="E27" s="14" t="str">
        <x:v>Flutningaþjónusta</x:v>
      </x:c>
      <x:c r="F27" s="18" t="n">
        <x:v>77</x:v>
      </x:c>
      <x:c r="G27" s="46" t="n">
        <x:v>76.8139837398374</x:v>
      </x:c>
      <x:c r="H27" s="18" t="n">
        <x:v>77</x:v>
      </x:c>
      <x:c r="I27" s="46" t="n">
        <x:v>76.8139837398374</x:v>
      </x:c>
      <x:c r="J27" s="18" t="n">
        <x:v>77</x:v>
      </x:c>
      <x:c r="K27" s="46" t="n">
        <x:v>-0.18601626016260298</x:v>
      </x:c>
      <x:c r="L27" s="46" t="n">
        <x:v>-0.18601626016260298</x:v>
      </x:c>
      <x:c r="M27" s="14" t="str">
        <x:v>SAMHLJÓÐA</x:v>
      </x:c>
    </x:row>
    <x:row r="28">
      <x:c r="A28" s="14" t="n">
        <x:v>4</x:v>
      </x:c>
      <x:c r="B28" s="14" t="str">
        <x:v>AT</x:v>
      </x:c>
      <x:c r="C28" s="14" t="str">
        <x:v>Austurríki</x:v>
      </x:c>
      <x:c r="D28" s="14" t="str">
        <x:v>A0111</x:v>
      </x:c>
      <x:c r="E28" s="14" t="str">
        <x:v>Veitingastaðir og hótel</x:v>
      </x:c>
      <x:c r="F28" s="18" t="n">
        <x:v>71</x:v>
      </x:c>
      <x:c r="G28" s="46" t="n">
        <x:v>71.48509485094851</x:v>
      </x:c>
      <x:c r="H28" s="18" t="n">
        <x:v>71</x:v>
      </x:c>
      <x:c r="I28" s="46" t="n">
        <x:v>71.48509485094851</x:v>
      </x:c>
      <x:c r="J28" s="18" t="n">
        <x:v>71</x:v>
      </x:c>
      <x:c r="K28" s="46" t="n">
        <x:v>0.48509485094851357</x:v>
      </x:c>
      <x:c r="L28" s="46" t="n">
        <x:v>0.48509485094851357</x:v>
      </x:c>
      <x:c r="M28" s="14" t="str">
        <x:v>SAMHLJÓÐA</x:v>
      </x:c>
    </x:row>
    <x:row r="29">
      <x:c r="A29" s="14" t="n">
        <x:v>5</x:v>
      </x:c>
      <x:c r="B29" s="14" t="str">
        <x:v>NL</x:v>
      </x:c>
      <x:c r="C29" s="14" t="str">
        <x:v>Holland</x:v>
      </x:c>
      <x:c r="D29" s="14" t="str">
        <x:v>A01</x:v>
      </x:c>
      <x:c r="E29" s="14" t="str">
        <x:v>Einstaklingsbundin neysla</x:v>
      </x:c>
      <x:c r="F29" s="18" t="n">
        <x:v>82</x:v>
      </x:c>
      <x:c r="G29" s="46" t="n">
        <x:v>81.65542040586598</x:v>
      </x:c>
      <x:c r="H29" s="18" t="n">
        <x:v>82</x:v>
      </x:c>
      <x:c r="I29" s="46" t="n">
        <x:v>81.65542040586598</x:v>
      </x:c>
      <x:c r="J29" s="18" t="n">
        <x:v>82</x:v>
      </x:c>
      <x:c r="K29" s="46" t="n">
        <x:v>-0.34457959413401795</x:v>
      </x:c>
      <x:c r="L29" s="46" t="n">
        <x:v>-0.34457959413401795</x:v>
      </x:c>
      <x:c r="M29" s="14" t="str">
        <x:v>SAMHLJÓÐA</x:v>
      </x:c>
    </x:row>
    <x:row r="30">
      <x:c r="A30" s="14" t="n">
        <x:v>5</x:v>
      </x:c>
      <x:c r="B30" s="14" t="str">
        <x:v>NL</x:v>
      </x:c>
      <x:c r="C30" s="14" t="str">
        <x:v>Holland</x:v>
      </x:c>
      <x:c r="D30" s="14" t="str">
        <x:v>A0101</x:v>
      </x:c>
      <x:c r="E30" s="14" t="str">
        <x:v>Matur og óáfengir drykkir</x:v>
      </x:c>
      <x:c r="F30" s="18" t="n">
        <x:v>67</x:v>
      </x:c>
      <x:c r="G30" s="46" t="n">
        <x:v>66.74149651355494</x:v>
      </x:c>
      <x:c r="H30" s="18" t="n">
        <x:v>67</x:v>
      </x:c>
      <x:c r="I30" s="46" t="n">
        <x:v>66.74149651355494</x:v>
      </x:c>
      <x:c r="J30" s="18" t="n">
        <x:v>67</x:v>
      </x:c>
      <x:c r="K30" s="46" t="n">
        <x:v>-0.2585034864450648</x:v>
      </x:c>
      <x:c r="L30" s="46" t="n">
        <x:v>-0.2585034864450648</x:v>
      </x:c>
      <x:c r="M30" s="14" t="str">
        <x:v>SAMHLJÓÐA</x:v>
      </x:c>
    </x:row>
    <x:row r="31">
      <x:c r="A31" s="14" t="n">
        <x:v>5</x:v>
      </x:c>
      <x:c r="B31" s="14" t="str">
        <x:v>NL</x:v>
      </x:c>
      <x:c r="C31" s="14" t="str">
        <x:v>Holland</x:v>
      </x:c>
      <x:c r="D31" s="14" t="str">
        <x:v>A0103</x:v>
      </x:c>
      <x:c r="E31" s="14" t="str">
        <x:v>Föt og skór</x:v>
      </x:c>
      <x:c r="F31" s="18" t="n">
        <x:v>63</x:v>
      </x:c>
      <x:c r="G31" s="46" t="n">
        <x:v>62.75995122103749</x:v>
      </x:c>
      <x:c r="H31" s="18" t="n">
        <x:v>63</x:v>
      </x:c>
      <x:c r="I31" s="46" t="n">
        <x:v>62.75995122103749</x:v>
      </x:c>
      <x:c r="J31" s="18" t="n">
        <x:v>63</x:v>
      </x:c>
      <x:c r="K31" s="46" t="n">
        <x:v>-0.2400487789625103</x:v>
      </x:c>
      <x:c r="L31" s="46" t="n">
        <x:v>-0.2400487789625103</x:v>
      </x:c>
      <x:c r="M31" s="14" t="str">
        <x:v>SAMHLJÓÐA</x:v>
      </x:c>
    </x:row>
    <x:row r="32">
      <x:c r="A32" s="14" t="n">
        <x:v>5</x:v>
      </x:c>
      <x:c r="B32" s="14" t="str">
        <x:v>NL</x:v>
      </x:c>
      <x:c r="C32" s="14" t="str">
        <x:v>Holland</x:v>
      </x:c>
      <x:c r="D32" s="14" t="str">
        <x:v>A010405</x:v>
      </x:c>
      <x:c r="E32" s="14" t="str">
        <x:v>Rafmagn, gas og annað eldsneyti</x:v>
      </x:c>
      <x:c r="F32" s="18" t="n">
        <x:v>75</x:v>
      </x:c>
      <x:c r="G32" s="46" t="n">
        <x:v>74.5696194615553</x:v>
      </x:c>
      <x:c r="H32" s="18" t="n">
        <x:v>75</x:v>
      </x:c>
      <x:c r="I32" s="46" t="n">
        <x:v>74.5696194615553</x:v>
      </x:c>
      <x:c r="J32" s="18" t="n">
        <x:v>75</x:v>
      </x:c>
      <x:c r="K32" s="46" t="n">
        <x:v>-0.4303805384446946</x:v>
      </x:c>
      <x:c r="L32" s="46" t="n">
        <x:v>-0.4303805384446946</x:v>
      </x:c>
      <x:c r="M32" s="14" t="str">
        <x:v>SAMHLJÓÐA</x:v>
      </x:c>
    </x:row>
    <x:row r="33">
      <x:c r="A33" s="14" t="n">
        <x:v>5</x:v>
      </x:c>
      <x:c r="B33" s="14" t="str">
        <x:v>NL</x:v>
      </x:c>
      <x:c r="C33" s="14" t="str">
        <x:v>Holland</x:v>
      </x:c>
      <x:c r="D33" s="14" t="str">
        <x:v>A010703</x:v>
      </x:c>
      <x:c r="E33" s="14" t="str">
        <x:v>Flutningaþjónusta</x:v>
      </x:c>
      <x:c r="F33" s="18" t="n">
        <x:v>80</x:v>
      </x:c>
      <x:c r="G33" s="46" t="n">
        <x:v>79.90084112441762</x:v>
      </x:c>
      <x:c r="H33" s="18" t="n">
        <x:v>80</x:v>
      </x:c>
      <x:c r="I33" s="46" t="n">
        <x:v>79.90084112441762</x:v>
      </x:c>
      <x:c r="J33" s="18" t="n">
        <x:v>80</x:v>
      </x:c>
      <x:c r="K33" s="46" t="n">
        <x:v>-0.09915887558237557</x:v>
      </x:c>
      <x:c r="L33" s="46" t="n">
        <x:v>-0.09915887558237557</x:v>
      </x:c>
      <x:c r="M33" s="14" t="str">
        <x:v>SAMHLJÓÐA</x:v>
      </x:c>
    </x:row>
    <x:row r="34">
      <x:c r="A34" s="14" t="n">
        <x:v>5</x:v>
      </x:c>
      <x:c r="B34" s="14" t="str">
        <x:v>NL</x:v>
      </x:c>
      <x:c r="C34" s="14" t="str">
        <x:v>Holland</x:v>
      </x:c>
      <x:c r="D34" s="14" t="str">
        <x:v>A0111</x:v>
      </x:c>
      <x:c r="E34" s="14" t="str">
        <x:v>Veitingastaðir og hótel</x:v>
      </x:c>
      <x:c r="F34" s="18" t="n">
        <x:v>84</x:v>
      </x:c>
      <x:c r="G34" s="46" t="n">
        <x:v>84.08483787248679</x:v>
      </x:c>
      <x:c r="H34" s="18" t="n">
        <x:v>84</x:v>
      </x:c>
      <x:c r="I34" s="46" t="n">
        <x:v>84.08483787248679</x:v>
      </x:c>
      <x:c r="J34" s="18" t="n">
        <x:v>84</x:v>
      </x:c>
      <x:c r="K34" s="46" t="n">
        <x:v>0.08483787248678709</x:v>
      </x:c>
      <x:c r="L34" s="46" t="n">
        <x:v>0.08483787248678709</x:v>
      </x:c>
      <x:c r="M34" s="14" t="str">
        <x:v>SAMHLJÓÐA</x:v>
      </x:c>
    </x:row>
    <x:row r="35">
      <x:c r="A35" s="14" t="n">
        <x:v>6</x:v>
      </x:c>
      <x:c r="B35" s="14" t="str">
        <x:v>DE</x:v>
      </x:c>
      <x:c r="C35" s="14" t="str">
        <x:v>Þýskaland</x:v>
      </x:c>
      <x:c r="D35" s="14" t="str">
        <x:v>A01</x:v>
      </x:c>
      <x:c r="E35" s="14" t="str">
        <x:v>Einstaklingsbundin neysla</x:v>
      </x:c>
      <x:c r="F35" s="18" t="n">
        <x:v>85</x:v>
      </x:c>
      <x:c r="G35" s="46" t="n">
        <x:v>85.25276802201383</x:v>
      </x:c>
      <x:c r="H35" s="18" t="n">
        <x:v>85</x:v>
      </x:c>
      <x:c r="I35" s="46" t="n">
        <x:v>85.25276802201383</x:v>
      </x:c>
      <x:c r="J35" s="18" t="n">
        <x:v>85</x:v>
      </x:c>
      <x:c r="K35" s="46" t="n">
        <x:v>0.2527680220138251</x:v>
      </x:c>
      <x:c r="L35" s="46" t="n">
        <x:v>0.2527680220138251</x:v>
      </x:c>
      <x:c r="M35" s="14" t="str">
        <x:v>SAMHLJÓÐA</x:v>
      </x:c>
    </x:row>
    <x:row r="36">
      <x:c r="A36" s="14" t="n">
        <x:v>6</x:v>
      </x:c>
      <x:c r="B36" s="14" t="str">
        <x:v>DE</x:v>
      </x:c>
      <x:c r="C36" s="14" t="str">
        <x:v>Þýskaland</x:v>
      </x:c>
      <x:c r="D36" s="14" t="str">
        <x:v>A0101</x:v>
      </x:c>
      <x:c r="E36" s="14" t="str">
        <x:v>Matur og óáfengir drykkir</x:v>
      </x:c>
      <x:c r="F36" s="18" t="n">
        <x:v>80</x:v>
      </x:c>
      <x:c r="G36" s="46" t="n">
        <x:v>80.2516890546363</x:v>
      </x:c>
      <x:c r="H36" s="18" t="n">
        <x:v>80</x:v>
      </x:c>
      <x:c r="I36" s="46" t="n">
        <x:v>80.2516890546363</x:v>
      </x:c>
      <x:c r="J36" s="18" t="n">
        <x:v>80</x:v>
      </x:c>
      <x:c r="K36" s="46" t="n">
        <x:v>0.25168905463630153</x:v>
      </x:c>
      <x:c r="L36" s="46" t="n">
        <x:v>0.25168905463630153</x:v>
      </x:c>
      <x:c r="M36" s="14" t="str">
        <x:v>SAMHLJÓÐA</x:v>
      </x:c>
    </x:row>
    <x:row r="37">
      <x:c r="A37" s="14" t="n">
        <x:v>6</x:v>
      </x:c>
      <x:c r="B37" s="14" t="str">
        <x:v>DE</x:v>
      </x:c>
      <x:c r="C37" s="14" t="str">
        <x:v>Þýskaland</x:v>
      </x:c>
      <x:c r="D37" s="14" t="str">
        <x:v>A0103</x:v>
      </x:c>
      <x:c r="E37" s="14" t="str">
        <x:v>Föt og skór</x:v>
      </x:c>
      <x:c r="F37" s="18" t="n">
        <x:v>79</x:v>
      </x:c>
      <x:c r="G37" s="46" t="n">
        <x:v>79.07956117165719</x:v>
      </x:c>
      <x:c r="H37" s="18" t="n">
        <x:v>79</x:v>
      </x:c>
      <x:c r="I37" s="46" t="n">
        <x:v>79.07956117165719</x:v>
      </x:c>
      <x:c r="J37" s="18" t="n">
        <x:v>79</x:v>
      </x:c>
      <x:c r="K37" s="46" t="n">
        <x:v>0.07956117165718979</x:v>
      </x:c>
      <x:c r="L37" s="46" t="n">
        <x:v>0.07956117165718979</x:v>
      </x:c>
      <x:c r="M37" s="14" t="str">
        <x:v>SAMHLJÓÐA</x:v>
      </x:c>
    </x:row>
    <x:row r="38">
      <x:c r="A38" s="14" t="n">
        <x:v>6</x:v>
      </x:c>
      <x:c r="B38" s="14" t="str">
        <x:v>DE</x:v>
      </x:c>
      <x:c r="C38" s="14" t="str">
        <x:v>Þýskaland</x:v>
      </x:c>
      <x:c r="D38" s="14" t="str">
        <x:v>A010405</x:v>
      </x:c>
      <x:c r="E38" s="14" t="str">
        <x:v>Rafmagn, gas og annað eldsneyti</x:v>
      </x:c>
      <x:c r="F38" s="18" t="n">
        <x:v>95</x:v>
      </x:c>
      <x:c r="G38" s="46" t="n">
        <x:v>95.41120967449943</x:v>
      </x:c>
      <x:c r="H38" s="18" t="n">
        <x:v>95</x:v>
      </x:c>
      <x:c r="I38" s="46" t="n">
        <x:v>95.41120967449943</x:v>
      </x:c>
      <x:c r="J38" s="18" t="n">
        <x:v>95</x:v>
      </x:c>
      <x:c r="K38" s="46" t="n">
        <x:v>0.4112096744994318</x:v>
      </x:c>
      <x:c r="L38" s="46" t="n">
        <x:v>0.4112096744994318</x:v>
      </x:c>
      <x:c r="M38" s="14" t="str">
        <x:v>SAMHLJÓÐA</x:v>
      </x:c>
    </x:row>
    <x:row r="39">
      <x:c r="A39" s="14" t="n">
        <x:v>6</x:v>
      </x:c>
      <x:c r="B39" s="14" t="str">
        <x:v>DE</x:v>
      </x:c>
      <x:c r="C39" s="14" t="str">
        <x:v>Þýskaland</x:v>
      </x:c>
      <x:c r="D39" s="14" t="str">
        <x:v>A010703</x:v>
      </x:c>
      <x:c r="E39" s="14" t="str">
        <x:v>Flutningaþjónusta</x:v>
      </x:c>
      <x:c r="F39" s="18" t="n">
        <x:v>93</x:v>
      </x:c>
      <x:c r="G39" s="46" t="n">
        <x:v>92.75438647308012</x:v>
      </x:c>
      <x:c r="H39" s="18" t="n">
        <x:v>93</x:v>
      </x:c>
      <x:c r="I39" s="46" t="n">
        <x:v>92.75438647308012</x:v>
      </x:c>
      <x:c r="J39" s="18" t="n">
        <x:v>93</x:v>
      </x:c>
      <x:c r="K39" s="46" t="n">
        <x:v>-0.24561352691988247</x:v>
      </x:c>
      <x:c r="L39" s="46" t="n">
        <x:v>-0.24561352691988247</x:v>
      </x:c>
      <x:c r="M39" s="14" t="str">
        <x:v>SAMHLJÓÐA</x:v>
      </x:c>
    </x:row>
    <x:row r="40">
      <x:c r="A40" s="14" t="n">
        <x:v>6</x:v>
      </x:c>
      <x:c r="B40" s="14" t="str">
        <x:v>DE</x:v>
      </x:c>
      <x:c r="C40" s="14" t="str">
        <x:v>Þýskaland</x:v>
      </x:c>
      <x:c r="D40" s="14" t="str">
        <x:v>A0111</x:v>
      </x:c>
      <x:c r="E40" s="14" t="str">
        <x:v>Veitingastaðir og hótel</x:v>
      </x:c>
      <x:c r="F40" s="18" t="n">
        <x:v>88</x:v>
      </x:c>
      <x:c r="G40" s="46" t="n">
        <x:v>87.59702378797203</x:v>
      </x:c>
      <x:c r="H40" s="18" t="n">
        <x:v>88</x:v>
      </x:c>
      <x:c r="I40" s="46" t="n">
        <x:v>87.59702378797203</x:v>
      </x:c>
      <x:c r="J40" s="18" t="n">
        <x:v>88</x:v>
      </x:c>
      <x:c r="K40" s="46" t="n">
        <x:v>-0.40297621202796563</x:v>
      </x:c>
      <x:c r="L40" s="46" t="n">
        <x:v>-0.40297621202796563</x:v>
      </x:c>
      <x:c r="M40" s="14" t="str">
        <x:v>SAMHLJÓÐA</x:v>
      </x:c>
    </x:row>
    <x:row r="41">
      <x:c r="A41" s="14" t="n">
        <x:v>7</x:v>
      </x:c>
      <x:c r="B41" s="14" t="str">
        <x:v>DK</x:v>
      </x:c>
      <x:c r="C41" s="14" t="str">
        <x:v>Danmörk</x:v>
      </x:c>
      <x:c r="D41" s="14" t="str">
        <x:v>A01</x:v>
      </x:c>
      <x:c r="E41" s="14" t="str">
        <x:v>Einstaklingsbundin neysla</x:v>
      </x:c>
      <x:c r="F41" s="18" t="n">
        <x:v>88</x:v>
      </x:c>
      <x:c r="G41" s="46" t="n">
        <x:v>88.45132738283156</x:v>
      </x:c>
      <x:c r="H41" s="18" t="n">
        <x:v>88</x:v>
      </x:c>
      <x:c r="I41" s="46" t="n">
        <x:v>88.45132738283156</x:v>
      </x:c>
      <x:c r="J41" s="18" t="n">
        <x:v>88</x:v>
      </x:c>
      <x:c r="K41" s="46" t="n">
        <x:v>0.4513273828315647</x:v>
      </x:c>
      <x:c r="L41" s="46" t="n">
        <x:v>0.4513273828315647</x:v>
      </x:c>
      <x:c r="M41" s="14" t="str">
        <x:v>SAMHLJÓÐA</x:v>
      </x:c>
    </x:row>
    <x:row r="42">
      <x:c r="A42" s="14" t="n">
        <x:v>7</x:v>
      </x:c>
      <x:c r="B42" s="14" t="str">
        <x:v>DK</x:v>
      </x:c>
      <x:c r="C42" s="14" t="str">
        <x:v>Danmörk</x:v>
      </x:c>
      <x:c r="D42" s="14" t="str">
        <x:v>A0101</x:v>
      </x:c>
      <x:c r="E42" s="14" t="str">
        <x:v>Matur og óáfengir drykkir</x:v>
      </x:c>
      <x:c r="F42" s="18" t="n">
        <x:v>74</x:v>
      </x:c>
      <x:c r="G42" s="46" t="n">
        <x:v>74.45272795109491</x:v>
      </x:c>
      <x:c r="H42" s="18" t="n">
        <x:v>74</x:v>
      </x:c>
      <x:c r="I42" s="46" t="n">
        <x:v>74.45272795109491</x:v>
      </x:c>
      <x:c r="J42" s="18" t="n">
        <x:v>74</x:v>
      </x:c>
      <x:c r="K42" s="46" t="n">
        <x:v>0.45272795109491426</x:v>
      </x:c>
      <x:c r="L42" s="46" t="n">
        <x:v>0.45272795109491426</x:v>
      </x:c>
      <x:c r="M42" s="14" t="str">
        <x:v>SAMHLJÓÐA</x:v>
      </x:c>
    </x:row>
    <x:row r="43">
      <x:c r="A43" s="14" t="n">
        <x:v>7</x:v>
      </x:c>
      <x:c r="B43" s="14" t="str">
        <x:v>DK</x:v>
      </x:c>
      <x:c r="C43" s="14" t="str">
        <x:v>Danmörk</x:v>
      </x:c>
      <x:c r="D43" s="14" t="str">
        <x:v>A0103</x:v>
      </x:c>
      <x:c r="E43" s="14" t="str">
        <x:v>Föt og skór</x:v>
      </x:c>
      <x:c r="F43" s="18" t="n">
        <x:v>82</x:v>
      </x:c>
      <x:c r="G43" s="46" t="n">
        <x:v>82.19531613236518</x:v>
      </x:c>
      <x:c r="H43" s="18" t="n">
        <x:v>82</x:v>
      </x:c>
      <x:c r="I43" s="46" t="n">
        <x:v>82.19531613236518</x:v>
      </x:c>
      <x:c r="J43" s="18" t="n">
        <x:v>82</x:v>
      </x:c>
      <x:c r="K43" s="46" t="n">
        <x:v>0.19531613236517842</x:v>
      </x:c>
      <x:c r="L43" s="46" t="n">
        <x:v>0.19531613236517842</x:v>
      </x:c>
      <x:c r="M43" s="14" t="str">
        <x:v>SAMHLJÓÐA</x:v>
      </x:c>
    </x:row>
    <x:row r="44">
      <x:c r="A44" s="14" t="n">
        <x:v>7</x:v>
      </x:c>
      <x:c r="B44" s="14" t="str">
        <x:v>DK</x:v>
      </x:c>
      <x:c r="C44" s="14" t="str">
        <x:v>Danmörk</x:v>
      </x:c>
      <x:c r="D44" s="14" t="str">
        <x:v>A010405</x:v>
      </x:c>
      <x:c r="E44" s="14" t="str">
        <x:v>Rafmagn, gas og annað eldsneyti</x:v>
      </x:c>
      <x:c r="F44" s="18" t="n">
        <x:v>71</x:v>
      </x:c>
      <x:c r="G44" s="46" t="n">
        <x:v>71.10792985678616</x:v>
      </x:c>
      <x:c r="H44" s="18" t="n">
        <x:v>71</x:v>
      </x:c>
      <x:c r="I44" s="46" t="n">
        <x:v>71.10792985678616</x:v>
      </x:c>
      <x:c r="J44" s="18" t="n">
        <x:v>71</x:v>
      </x:c>
      <x:c r="K44" s="46" t="n">
        <x:v>0.10792985678615707</x:v>
      </x:c>
      <x:c r="L44" s="46" t="n">
        <x:v>0.10792985678615707</x:v>
      </x:c>
      <x:c r="M44" s="14" t="str">
        <x:v>SAMHLJÓÐA</x:v>
      </x:c>
    </x:row>
    <x:row r="45">
      <x:c r="A45" s="14" t="n">
        <x:v>7</x:v>
      </x:c>
      <x:c r="B45" s="14" t="str">
        <x:v>DK</x:v>
      </x:c>
      <x:c r="C45" s="14" t="str">
        <x:v>Danmörk</x:v>
      </x:c>
      <x:c r="D45" s="14" t="str">
        <x:v>A010703</x:v>
      </x:c>
      <x:c r="E45" s="14" t="str">
        <x:v>Flutningaþjónusta</x:v>
      </x:c>
      <x:c r="F45" s="18" t="n">
        <x:v>99</x:v>
      </x:c>
      <x:c r="G45" s="46" t="n">
        <x:v>99.04318801480929</x:v>
      </x:c>
      <x:c r="H45" s="18" t="n">
        <x:v>99</x:v>
      </x:c>
      <x:c r="I45" s="46" t="n">
        <x:v>99.04318801480929</x:v>
      </x:c>
      <x:c r="J45" s="18" t="n">
        <x:v>99</x:v>
      </x:c>
      <x:c r="K45" s="46" t="n">
        <x:v>0.04318801480928869</x:v>
      </x:c>
      <x:c r="L45" s="46" t="n">
        <x:v>0.04318801480928869</x:v>
      </x:c>
      <x:c r="M45" s="14" t="str">
        <x:v>SAMHLJÓÐA</x:v>
      </x:c>
    </x:row>
    <x:row r="46">
      <x:c r="A46" s="14" t="n">
        <x:v>7</x:v>
      </x:c>
      <x:c r="B46" s="14" t="str">
        <x:v>DK</x:v>
      </x:c>
      <x:c r="C46" s="14" t="str">
        <x:v>Danmörk</x:v>
      </x:c>
      <x:c r="D46" s="14" t="str">
        <x:v>A0111</x:v>
      </x:c>
      <x:c r="E46" s="14" t="str">
        <x:v>Veitingastaðir og hótel</x:v>
      </x:c>
      <x:c r="F46" s="18" t="n">
        <x:v>91</x:v>
      </x:c>
      <x:c r="G46" s="46" t="n">
        <x:v>91.42448124443933</x:v>
      </x:c>
      <x:c r="H46" s="18" t="n">
        <x:v>91</x:v>
      </x:c>
      <x:c r="I46" s="46" t="n">
        <x:v>91.42448124443933</x:v>
      </x:c>
      <x:c r="J46" s="18" t="n">
        <x:v>91</x:v>
      </x:c>
      <x:c r="K46" s="46" t="n">
        <x:v>0.42448124443933466</x:v>
      </x:c>
      <x:c r="L46" s="46" t="n">
        <x:v>0.42448124443933466</x:v>
      </x:c>
      <x:c r="M46" s="14" t="str">
        <x:v>SAMHLJÓÐA</x:v>
      </x:c>
    </x:row>
    <x:row r="47">
      <x:c r="A47" s="14" t="n">
        <x:v>8</x:v>
      </x:c>
      <x:c r="B47" s="14" t="str">
        <x:v>FR</x:v>
      </x:c>
      <x:c r="C47" s="14" t="str">
        <x:v>Frakkland</x:v>
      </x:c>
      <x:c r="D47" s="14" t="str">
        <x:v>A01</x:v>
      </x:c>
      <x:c r="E47" s="14" t="str">
        <x:v>Einstaklingsbundin neysla</x:v>
      </x:c>
      <x:c r="F47" s="18" t="n">
        <x:v>91</x:v>
      </x:c>
      <x:c r="G47" s="46" t="n">
        <x:v>91.11780725437258</x:v>
      </x:c>
      <x:c r="H47" s="18" t="n">
        <x:v>91</x:v>
      </x:c>
      <x:c r="I47" s="46" t="n">
        <x:v>91.11780725437258</x:v>
      </x:c>
      <x:c r="J47" s="18" t="n">
        <x:v>91</x:v>
      </x:c>
      <x:c r="K47" s="46" t="n">
        <x:v>0.117807254372579</x:v>
      </x:c>
      <x:c r="L47" s="46" t="n">
        <x:v>0.117807254372579</x:v>
      </x:c>
      <x:c r="M47" s="14" t="str">
        <x:v>SAMHLJÓÐA</x:v>
      </x:c>
    </x:row>
    <x:row r="48">
      <x:c r="A48" s="14" t="n">
        <x:v>8</x:v>
      </x:c>
      <x:c r="B48" s="14" t="str">
        <x:v>FR</x:v>
      </x:c>
      <x:c r="C48" s="14" t="str">
        <x:v>Frakkland</x:v>
      </x:c>
      <x:c r="D48" s="14" t="str">
        <x:v>A0101</x:v>
      </x:c>
      <x:c r="E48" s="14" t="str">
        <x:v>Matur og óáfengir drykkir</x:v>
      </x:c>
      <x:c r="F48" s="18" t="n">
        <x:v>93</x:v>
      </x:c>
      <x:c r="G48" s="46" t="n">
        <x:v>92.9756309425989</x:v>
      </x:c>
      <x:c r="H48" s="18" t="n">
        <x:v>93</x:v>
      </x:c>
      <x:c r="I48" s="46" t="n">
        <x:v>92.9756309425989</x:v>
      </x:c>
      <x:c r="J48" s="18" t="n">
        <x:v>93</x:v>
      </x:c>
      <x:c r="K48" s="46" t="n">
        <x:v>-0.024369057401102623</x:v>
      </x:c>
      <x:c r="L48" s="46" t="n">
        <x:v>-0.024369057401102623</x:v>
      </x:c>
      <x:c r="M48" s="14" t="str">
        <x:v>SAMHLJÓÐA</x:v>
      </x:c>
    </x:row>
    <x:row r="49">
      <x:c r="A49" s="14" t="n">
        <x:v>8</x:v>
      </x:c>
      <x:c r="B49" s="14" t="str">
        <x:v>FR</x:v>
      </x:c>
      <x:c r="C49" s="14" t="str">
        <x:v>Frakkland</x:v>
      </x:c>
      <x:c r="D49" s="14" t="str">
        <x:v>A0103</x:v>
      </x:c>
      <x:c r="E49" s="14" t="str">
        <x:v>Föt og skór</x:v>
      </x:c>
      <x:c r="F49" s="18" t="n">
        <x:v>83</x:v>
      </x:c>
      <x:c r="G49" s="46" t="n">
        <x:v>82.58870759478812</x:v>
      </x:c>
      <x:c r="H49" s="18" t="n">
        <x:v>83</x:v>
      </x:c>
      <x:c r="I49" s="46" t="n">
        <x:v>82.58870759478812</x:v>
      </x:c>
      <x:c r="J49" s="18" t="n">
        <x:v>83</x:v>
      </x:c>
      <x:c r="K49" s="46" t="n">
        <x:v>-0.4112924052118814</x:v>
      </x:c>
      <x:c r="L49" s="46" t="n">
        <x:v>-0.4112924052118814</x:v>
      </x:c>
      <x:c r="M49" s="14" t="str">
        <x:v>SAMHLJÓÐA</x:v>
      </x:c>
    </x:row>
    <x:row r="50">
      <x:c r="A50" s="14" t="n">
        <x:v>8</x:v>
      </x:c>
      <x:c r="B50" s="14" t="str">
        <x:v>FR</x:v>
      </x:c>
      <x:c r="C50" s="14" t="str">
        <x:v>Frakkland</x:v>
      </x:c>
      <x:c r="D50" s="14" t="str">
        <x:v>A010405</x:v>
      </x:c>
      <x:c r="E50" s="14" t="str">
        <x:v>Rafmagn, gas og annað eldsneyti</x:v>
      </x:c>
      <x:c r="F50" s="18" t="n">
        <x:v>86</x:v>
      </x:c>
      <x:c r="G50" s="46" t="n">
        <x:v>85.79767578354266</x:v>
      </x:c>
      <x:c r="H50" s="18" t="n">
        <x:v>86</x:v>
      </x:c>
      <x:c r="I50" s="46" t="n">
        <x:v>85.79767578354266</x:v>
      </x:c>
      <x:c r="J50" s="18" t="n">
        <x:v>86</x:v>
      </x:c>
      <x:c r="K50" s="46" t="n">
        <x:v>-0.20232421645734178</x:v>
      </x:c>
      <x:c r="L50" s="46" t="n">
        <x:v>-0.20232421645734178</x:v>
      </x:c>
      <x:c r="M50" s="14" t="str">
        <x:v>SAMHLJÓÐA</x:v>
      </x:c>
    </x:row>
    <x:row r="51">
      <x:c r="A51" s="14" t="n">
        <x:v>8</x:v>
      </x:c>
      <x:c r="B51" s="14" t="str">
        <x:v>FR</x:v>
      </x:c>
      <x:c r="C51" s="14" t="str">
        <x:v>Frakkland</x:v>
      </x:c>
      <x:c r="D51" s="14" t="str">
        <x:v>A010703</x:v>
      </x:c>
      <x:c r="E51" s="14" t="str">
        <x:v>Flutningaþjónusta</x:v>
      </x:c>
      <x:c r="F51" s="18" t="n">
        <x:v>98</x:v>
      </x:c>
      <x:c r="G51" s="46" t="n">
        <x:v>98.2113158821458</x:v>
      </x:c>
      <x:c r="H51" s="18" t="n">
        <x:v>98</x:v>
      </x:c>
      <x:c r="I51" s="46" t="n">
        <x:v>98.2113158821458</x:v>
      </x:c>
      <x:c r="J51" s="18" t="n">
        <x:v>98</x:v>
      </x:c>
      <x:c r="K51" s="46" t="n">
        <x:v>0.21131588214579722</x:v>
      </x:c>
      <x:c r="L51" s="46" t="n">
        <x:v>0.21131588214579722</x:v>
      </x:c>
      <x:c r="M51" s="14" t="str">
        <x:v>SAMHLJÓÐA</x:v>
      </x:c>
    </x:row>
    <x:row r="52">
      <x:c r="A52" s="14" t="n">
        <x:v>8</x:v>
      </x:c>
      <x:c r="B52" s="14" t="str">
        <x:v>FR</x:v>
      </x:c>
      <x:c r="C52" s="14" t="str">
        <x:v>Frakkland</x:v>
      </x:c>
      <x:c r="D52" s="14" t="str">
        <x:v>A0111</x:v>
      </x:c>
      <x:c r="E52" s="14" t="str">
        <x:v>Veitingastaðir og hótel</x:v>
      </x:c>
      <x:c r="F52" s="18" t="n">
        <x:v>93</x:v>
      </x:c>
      <x:c r="G52" s="46" t="n">
        <x:v>92.89118441131588</x:v>
      </x:c>
      <x:c r="H52" s="18" t="n">
        <x:v>93</x:v>
      </x:c>
      <x:c r="I52" s="46" t="n">
        <x:v>92.89118441131588</x:v>
      </x:c>
      <x:c r="J52" s="18" t="n">
        <x:v>93</x:v>
      </x:c>
      <x:c r="K52" s="46" t="n">
        <x:v>-0.10881558868412355</x:v>
      </x:c>
      <x:c r="L52" s="46" t="n">
        <x:v>-0.10881558868412355</x:v>
      </x:c>
      <x:c r="M52" s="14" t="str">
        <x:v>SAMHLJÓÐA</x:v>
      </x:c>
    </x:row>
    <x:row r="53">
      <x:c r="A53" s="14" t="n">
        <x:v>9</x:v>
      </x:c>
      <x:c r="B53" s="14" t="str">
        <x:v>IE</x:v>
      </x:c>
      <x:c r="C53" s="14" t="str">
        <x:v>Írland</x:v>
      </x:c>
      <x:c r="D53" s="14" t="str">
        <x:v>A01</x:v>
      </x:c>
      <x:c r="E53" s="14" t="str">
        <x:v>Einstaklingsbundin neysla</x:v>
      </x:c>
      <x:c r="F53" s="18" t="n">
        <x:v>92</x:v>
      </x:c>
      <x:c r="G53" s="46" t="n">
        <x:v>92.30843607063883</x:v>
      </x:c>
      <x:c r="H53" s="18" t="n">
        <x:v>92</x:v>
      </x:c>
      <x:c r="I53" s="46" t="n">
        <x:v>92.30843607063883</x:v>
      </x:c>
      <x:c r="J53" s="18" t="n">
        <x:v>92</x:v>
      </x:c>
      <x:c r="K53" s="46" t="n">
        <x:v>0.3084360706388338</x:v>
      </x:c>
      <x:c r="L53" s="46" t="n">
        <x:v>0.3084360706388338</x:v>
      </x:c>
      <x:c r="M53" s="14" t="str">
        <x:v>SAMHLJÓÐA</x:v>
      </x:c>
    </x:row>
    <x:row r="54">
      <x:c r="A54" s="14" t="n">
        <x:v>9</x:v>
      </x:c>
      <x:c r="B54" s="14" t="str">
        <x:v>IE</x:v>
      </x:c>
      <x:c r="C54" s="14" t="str">
        <x:v>Írland</x:v>
      </x:c>
      <x:c r="D54" s="14" t="str">
        <x:v>A0101</x:v>
      </x:c>
      <x:c r="E54" s="14" t="str">
        <x:v>Matur og óáfengir drykkir</x:v>
      </x:c>
      <x:c r="F54" s="18" t="n">
        <x:v>75</x:v>
      </x:c>
      <x:c r="G54" s="46" t="n">
        <x:v>74.85351225274891</x:v>
      </x:c>
      <x:c r="H54" s="18" t="n">
        <x:v>75</x:v>
      </x:c>
      <x:c r="I54" s="46" t="n">
        <x:v>74.85351225274891</x:v>
      </x:c>
      <x:c r="J54" s="18" t="n">
        <x:v>75</x:v>
      </x:c>
      <x:c r="K54" s="46" t="n">
        <x:v>-0.14648774725108638</x:v>
      </x:c>
      <x:c r="L54" s="46" t="n">
        <x:v>-0.14648774725108638</x:v>
      </x:c>
      <x:c r="M54" s="14" t="str">
        <x:v>SAMHLJÓÐA</x:v>
      </x:c>
    </x:row>
    <x:row r="55">
      <x:c r="A55" s="14" t="n">
        <x:v>9</x:v>
      </x:c>
      <x:c r="B55" s="14" t="str">
        <x:v>IE</x:v>
      </x:c>
      <x:c r="C55" s="14" t="str">
        <x:v>Írland</x:v>
      </x:c>
      <x:c r="D55" s="14" t="str">
        <x:v>A0103</x:v>
      </x:c>
      <x:c r="E55" s="14" t="str">
        <x:v>Föt og skór</x:v>
      </x:c>
      <x:c r="F55" s="18" t="n">
        <x:v>66</x:v>
      </x:c>
      <x:c r="G55" s="46" t="n">
        <x:v>65.50499500196892</x:v>
      </x:c>
      <x:c r="H55" s="18" t="n">
        <x:v>66</x:v>
      </x:c>
      <x:c r="I55" s="46" t="n">
        <x:v>65.50499500196892</x:v>
      </x:c>
      <x:c r="J55" s="18" t="n">
        <x:v>66</x:v>
      </x:c>
      <x:c r="K55" s="46" t="n">
        <x:v>-0.495004998031078</x:v>
      </x:c>
      <x:c r="L55" s="46" t="n">
        <x:v>-0.495004998031078</x:v>
      </x:c>
      <x:c r="M55" s="14" t="str">
        <x:v>SAMHLJÓÐA</x:v>
      </x:c>
    </x:row>
    <x:row r="56">
      <x:c r="A56" s="14" t="n">
        <x:v>9</x:v>
      </x:c>
      <x:c r="B56" s="14" t="str">
        <x:v>IE</x:v>
      </x:c>
      <x:c r="C56" s="14" t="str">
        <x:v>Írland</x:v>
      </x:c>
      <x:c r="D56" s="14" t="str">
        <x:v>A010405</x:v>
      </x:c>
      <x:c r="E56" s="14" t="str">
        <x:v>Rafmagn, gas og annað eldsneyti</x:v>
      </x:c>
      <x:c r="F56" s="18" t="n">
        <x:v>77</x:v>
      </x:c>
      <x:c r="G56" s="46" t="n">
        <x:v>76.7493654015085</x:v>
      </x:c>
      <x:c r="H56" s="18" t="n">
        <x:v>77</x:v>
      </x:c>
      <x:c r="I56" s="46" t="n">
        <x:v>76.7493654015085</x:v>
      </x:c>
      <x:c r="J56" s="18" t="n">
        <x:v>77</x:v>
      </x:c>
      <x:c r="K56" s="46" t="n">
        <x:v>-0.2506345984915015</x:v>
      </x:c>
      <x:c r="L56" s="46" t="n">
        <x:v>-0.2506345984915015</x:v>
      </x:c>
      <x:c r="M56" s="14" t="str">
        <x:v>SAMHLJÓÐA</x:v>
      </x:c>
    </x:row>
    <x:row r="57">
      <x:c r="A57" s="14" t="n">
        <x:v>9</x:v>
      </x:c>
      <x:c r="B57" s="14" t="str">
        <x:v>IE</x:v>
      </x:c>
      <x:c r="C57" s="14" t="str">
        <x:v>Írland</x:v>
      </x:c>
      <x:c r="D57" s="14" t="str">
        <x:v>A010703</x:v>
      </x:c>
      <x:c r="E57" s="14" t="str">
        <x:v>Flutningaþjónusta</x:v>
      </x:c>
      <x:c r="F57" s="18" t="n">
        <x:v>75</x:v>
      </x:c>
      <x:c r="G57" s="46" t="n">
        <x:v>75.24575773180261</x:v>
      </x:c>
      <x:c r="H57" s="18" t="n">
        <x:v>75</x:v>
      </x:c>
      <x:c r="I57" s="46" t="n">
        <x:v>75.24575773180261</x:v>
      </x:c>
      <x:c r="J57" s="18" t="n">
        <x:v>75</x:v>
      </x:c>
      <x:c r="K57" s="46" t="n">
        <x:v>0.2457577318026125</x:v>
      </x:c>
      <x:c r="L57" s="46" t="n">
        <x:v>0.2457577318026125</x:v>
      </x:c>
      <x:c r="M57" s="14" t="str">
        <x:v>SAMHLJÓÐA</x:v>
      </x:c>
    </x:row>
    <x:row r="58">
      <x:c r="A58" s="14" t="n">
        <x:v>9</x:v>
      </x:c>
      <x:c r="B58" s="14" t="str">
        <x:v>IE</x:v>
      </x:c>
      <x:c r="C58" s="14" t="str">
        <x:v>Írland</x:v>
      </x:c>
      <x:c r="D58" s="14" t="str">
        <x:v>A0111</x:v>
      </x:c>
      <x:c r="E58" s="14" t="str">
        <x:v>Veitingastaðir og hótel</x:v>
      </x:c>
      <x:c r="F58" s="18" t="n">
        <x:v>85</x:v>
      </x:c>
      <x:c r="G58" s="46" t="n">
        <x:v>84.52890073607367</x:v>
      </x:c>
      <x:c r="H58" s="18" t="n">
        <x:v>85</x:v>
      </x:c>
      <x:c r="I58" s="46" t="n">
        <x:v>84.52890073607367</x:v>
      </x:c>
      <x:c r="J58" s="18" t="n">
        <x:v>85</x:v>
      </x:c>
      <x:c r="K58" s="46" t="n">
        <x:v>-0.47109926392633383</x:v>
      </x:c>
      <x:c r="L58" s="46" t="n">
        <x:v>-0.47109926392633383</x:v>
      </x:c>
      <x:c r="M58" s="14" t="str">
        <x:v>SAMHLJÓÐA</x:v>
      </x:c>
    </x:row>
    <x:row r="59">
      <x:c r="A59" s="14" t="n">
        <x:v>10</x:v>
      </x:c>
      <x:c r="B59" s="14" t="str">
        <x:v>FI</x:v>
      </x:c>
      <x:c r="C59" s="14" t="str">
        <x:v>Finnland</x:v>
      </x:c>
      <x:c r="D59" s="14" t="str">
        <x:v>A01</x:v>
      </x:c>
      <x:c r="E59" s="14" t="str">
        <x:v>Einstaklingsbundin neysla</x:v>
      </x:c>
      <x:c r="F59" s="18" t="n">
        <x:v>96</x:v>
      </x:c>
      <x:c r="G59" s="46" t="n">
        <x:v>95.67596277837801</x:v>
      </x:c>
      <x:c r="H59" s="18" t="n">
        <x:v>96</x:v>
      </x:c>
      <x:c r="I59" s="46" t="n">
        <x:v>95.67596277837801</x:v>
      </x:c>
      <x:c r="J59" s="18" t="n">
        <x:v>96</x:v>
      </x:c>
      <x:c r="K59" s="46" t="n">
        <x:v>-0.32403722162199244</x:v>
      </x:c>
      <x:c r="L59" s="46" t="n">
        <x:v>-0.32403722162199244</x:v>
      </x:c>
      <x:c r="M59" s="14" t="str">
        <x:v>SAMHLJÓÐA</x:v>
      </x:c>
    </x:row>
    <x:row r="60">
      <x:c r="A60" s="14" t="n">
        <x:v>10</x:v>
      </x:c>
      <x:c r="B60" s="14" t="str">
        <x:v>FI</x:v>
      </x:c>
      <x:c r="C60" s="14" t="str">
        <x:v>Finnland</x:v>
      </x:c>
      <x:c r="D60" s="14" t="str">
        <x:v>A0101</x:v>
      </x:c>
      <x:c r="E60" s="14" t="str">
        <x:v>Matur og óáfengir drykkir</x:v>
      </x:c>
      <x:c r="F60" s="18" t="n">
        <x:v>83</x:v>
      </x:c>
      <x:c r="G60" s="46" t="n">
        <x:v>82.58821315303385</x:v>
      </x:c>
      <x:c r="H60" s="18" t="n">
        <x:v>83</x:v>
      </x:c>
      <x:c r="I60" s="46" t="n">
        <x:v>82.58821315303385</x:v>
      </x:c>
      <x:c r="J60" s="18" t="n">
        <x:v>83</x:v>
      </x:c>
      <x:c r="K60" s="46" t="n">
        <x:v>-0.41178684696615164</x:v>
      </x:c>
      <x:c r="L60" s="46" t="n">
        <x:v>-0.41178684696615164</x:v>
      </x:c>
      <x:c r="M60" s="14" t="str">
        <x:v>SAMHLJÓÐA</x:v>
      </x:c>
    </x:row>
    <x:row r="61">
      <x:c r="A61" s="14" t="n">
        <x:v>10</x:v>
      </x:c>
      <x:c r="B61" s="14" t="str">
        <x:v>FI</x:v>
      </x:c>
      <x:c r="C61" s="14" t="str">
        <x:v>Finnland</x:v>
      </x:c>
      <x:c r="D61" s="14" t="str">
        <x:v>A0103</x:v>
      </x:c>
      <x:c r="E61" s="14" t="str">
        <x:v>Föt og skór</x:v>
      </x:c>
      <x:c r="F61" s="18" t="n">
        <x:v>91</x:v>
      </x:c>
      <x:c r="G61" s="46" t="n">
        <x:v>90.7868609068414</x:v>
      </x:c>
      <x:c r="H61" s="18" t="n">
        <x:v>91</x:v>
      </x:c>
      <x:c r="I61" s="46" t="n">
        <x:v>90.7868609068414</x:v>
      </x:c>
      <x:c r="J61" s="18" t="n">
        <x:v>91</x:v>
      </x:c>
      <x:c r="K61" s="46" t="n">
        <x:v>-0.21313909315860258</x:v>
      </x:c>
      <x:c r="L61" s="46" t="n">
        <x:v>-0.21313909315860258</x:v>
      </x:c>
      <x:c r="M61" s="14" t="str">
        <x:v>SAMHLJÓÐA</x:v>
      </x:c>
    </x:row>
    <x:row r="62">
      <x:c r="A62" s="14" t="n">
        <x:v>10</x:v>
      </x:c>
      <x:c r="B62" s="14" t="str">
        <x:v>FI</x:v>
      </x:c>
      <x:c r="C62" s="14" t="str">
        <x:v>Finnland</x:v>
      </x:c>
      <x:c r="D62" s="14" t="str">
        <x:v>A010405</x:v>
      </x:c>
      <x:c r="E62" s="14" t="str">
        <x:v>Rafmagn, gas og annað eldsneyti</x:v>
      </x:c>
      <x:c r="F62" s="18" t="n">
        <x:v>67</x:v>
      </x:c>
      <x:c r="G62" s="46" t="n">
        <x:v>67.39438887533545</x:v>
      </x:c>
      <x:c r="H62" s="18" t="n">
        <x:v>67</x:v>
      </x:c>
      <x:c r="I62" s="46" t="n">
        <x:v>67.39438887533545</x:v>
      </x:c>
      <x:c r="J62" s="18" t="n">
        <x:v>67</x:v>
      </x:c>
      <x:c r="K62" s="46" t="n">
        <x:v>0.3943888753354514</x:v>
      </x:c>
      <x:c r="L62" s="46" t="n">
        <x:v>0.3943888753354514</x:v>
      </x:c>
      <x:c r="M62" s="14" t="str">
        <x:v>SAMHLJÓÐA</x:v>
      </x:c>
    </x:row>
    <x:row r="63">
      <x:c r="A63" s="14" t="n">
        <x:v>10</x:v>
      </x:c>
      <x:c r="B63" s="14" t="str">
        <x:v>FI</x:v>
      </x:c>
      <x:c r="C63" s="14" t="str">
        <x:v>Finnland</x:v>
      </x:c>
      <x:c r="D63" s="14" t="str">
        <x:v>A010703</x:v>
      </x:c>
      <x:c r="E63" s="14" t="str">
        <x:v>Flutningaþjónusta</x:v>
      </x:c>
      <x:c r="F63" s="18" t="n">
        <x:v>106</x:v>
      </x:c>
      <x:c r="G63" s="46" t="n">
        <x:v>106.20633604014917</x:v>
      </x:c>
      <x:c r="H63" s="18" t="n">
        <x:v>106</x:v>
      </x:c>
      <x:c r="I63" s="46" t="n">
        <x:v>106.20633604014917</x:v>
      </x:c>
      <x:c r="J63" s="18" t="n">
        <x:v>106</x:v>
      </x:c>
      <x:c r="K63" s="46" t="n">
        <x:v>0.20633604014916784</x:v>
      </x:c>
      <x:c r="L63" s="46" t="n">
        <x:v>0.20633604014916784</x:v>
      </x:c>
      <x:c r="M63" s="14" t="str">
        <x:v>SAMHLJÓÐA</x:v>
      </x:c>
    </x:row>
    <x:row r="64">
      <x:c r="A64" s="14" t="n">
        <x:v>10</x:v>
      </x:c>
      <x:c r="B64" s="14" t="str">
        <x:v>FI</x:v>
      </x:c>
      <x:c r="C64" s="14" t="str">
        <x:v>Finnland</x:v>
      </x:c>
      <x:c r="D64" s="14" t="str">
        <x:v>A0111</x:v>
      </x:c>
      <x:c r="E64" s="14" t="str">
        <x:v>Veitingastaðir og hótel</x:v>
      </x:c>
      <x:c r="F64" s="18" t="n">
        <x:v>95</x:v>
      </x:c>
      <x:c r="G64" s="46" t="n">
        <x:v>95.37509497089883</x:v>
      </x:c>
      <x:c r="H64" s="18" t="n">
        <x:v>95</x:v>
      </x:c>
      <x:c r="I64" s="46" t="n">
        <x:v>95.37509497089883</x:v>
      </x:c>
      <x:c r="J64" s="18" t="n">
        <x:v>95</x:v>
      </x:c>
      <x:c r="K64" s="46" t="n">
        <x:v>0.3750949708988287</x:v>
      </x:c>
      <x:c r="L64" s="46" t="n">
        <x:v>0.3750949708988287</x:v>
      </x:c>
      <x:c r="M64" s="14" t="str">
        <x:v>SAMHLJÓÐA</x:v>
      </x:c>
    </x:row>
    <x:row r="65">
      <x:c r="A65" s="14" t="n">
        <x:v>11</x:v>
      </x:c>
      <x:c r="B65" s="14" t="str">
        <x:v>SE</x:v>
      </x:c>
      <x:c r="C65" s="14" t="str">
        <x:v>Svíþjóð</x:v>
      </x:c>
      <x:c r="D65" s="14" t="str">
        <x:v>A01</x:v>
      </x:c>
      <x:c r="E65" s="14" t="str">
        <x:v>Einstaklingsbundin neysla</x:v>
      </x:c>
      <x:c r="F65" s="18" t="n">
        <x:v>99</x:v>
      </x:c>
      <x:c r="G65" s="46" t="n">
        <x:v>98.62849712056475</x:v>
      </x:c>
      <x:c r="H65" s="18" t="n">
        <x:v>99</x:v>
      </x:c>
      <x:c r="I65" s="46" t="n">
        <x:v>98.62849712056475</x:v>
      </x:c>
      <x:c r="J65" s="18" t="n">
        <x:v>99</x:v>
      </x:c>
      <x:c r="K65" s="46" t="n">
        <x:v>-0.37150287943525484</x:v>
      </x:c>
      <x:c r="L65" s="46" t="n">
        <x:v>-0.37150287943525484</x:v>
      </x:c>
      <x:c r="M65" s="14" t="str">
        <x:v>SAMHLJÓÐA</x:v>
      </x:c>
    </x:row>
    <x:row r="66">
      <x:c r="A66" s="14" t="n">
        <x:v>11</x:v>
      </x:c>
      <x:c r="B66" s="14" t="str">
        <x:v>SE</x:v>
      </x:c>
      <x:c r="C66" s="14" t="str">
        <x:v>Svíþjóð</x:v>
      </x:c>
      <x:c r="D66" s="14" t="str">
        <x:v>A0101</x:v>
      </x:c>
      <x:c r="E66" s="14" t="str">
        <x:v>Matur og óáfengir drykkir</x:v>
      </x:c>
      <x:c r="F66" s="18" t="n">
        <x:v>85</x:v>
      </x:c>
      <x:c r="G66" s="46" t="n">
        <x:v>85.31765929778933</x:v>
      </x:c>
      <x:c r="H66" s="18" t="n">
        <x:v>85</x:v>
      </x:c>
      <x:c r="I66" s="46" t="n">
        <x:v>85.31765929778933</x:v>
      </x:c>
      <x:c r="J66" s="18" t="n">
        <x:v>85</x:v>
      </x:c>
      <x:c r="K66" s="46" t="n">
        <x:v>0.31765929778933355</x:v>
      </x:c>
      <x:c r="L66" s="46" t="n">
        <x:v>0.31765929778933355</x:v>
      </x:c>
      <x:c r="M66" s="14" t="str">
        <x:v>SAMHLJÓÐA</x:v>
      </x:c>
    </x:row>
    <x:row r="67">
      <x:c r="A67" s="14" t="n">
        <x:v>11</x:v>
      </x:c>
      <x:c r="B67" s="14" t="str">
        <x:v>SE</x:v>
      </x:c>
      <x:c r="C67" s="14" t="str">
        <x:v>Svíþjóð</x:v>
      </x:c>
      <x:c r="D67" s="14" t="str">
        <x:v>A0103</x:v>
      </x:c>
      <x:c r="E67" s="14" t="str">
        <x:v>Föt og skór</x:v>
      </x:c>
      <x:c r="F67" s="18" t="n">
        <x:v>97</x:v>
      </x:c>
      <x:c r="G67" s="46" t="n">
        <x:v>96.70403864016347</x:v>
      </x:c>
      <x:c r="H67" s="18" t="n">
        <x:v>97</x:v>
      </x:c>
      <x:c r="I67" s="46" t="n">
        <x:v>96.70403864016347</x:v>
      </x:c>
      <x:c r="J67" s="18" t="n">
        <x:v>97</x:v>
      </x:c>
      <x:c r="K67" s="46" t="n">
        <x:v>-0.29596135983652516</x:v>
      </x:c>
      <x:c r="L67" s="46" t="n">
        <x:v>-0.29596135983652516</x:v>
      </x:c>
      <x:c r="M67" s="14" t="str">
        <x:v>SAMHLJÓÐA</x:v>
      </x:c>
    </x:row>
    <x:row r="68">
      <x:c r="A68" s="14" t="n">
        <x:v>11</x:v>
      </x:c>
      <x:c r="B68" s="14" t="str">
        <x:v>SE</x:v>
      </x:c>
      <x:c r="C68" s="14" t="str">
        <x:v>Svíþjóð</x:v>
      </x:c>
      <x:c r="D68" s="14" t="str">
        <x:v>A010405</x:v>
      </x:c>
      <x:c r="E68" s="14" t="str">
        <x:v>Rafmagn, gas og annað eldsneyti</x:v>
      </x:c>
      <x:c r="F68" s="18" t="n">
        <x:v>78</x:v>
      </x:c>
      <x:c r="G68" s="46" t="n">
        <x:v>77.94056845625116</x:v>
      </x:c>
      <x:c r="H68" s="18" t="n">
        <x:v>78</x:v>
      </x:c>
      <x:c r="I68" s="46" t="n">
        <x:v>77.94056845625116</x:v>
      </x:c>
      <x:c r="J68" s="18" t="n">
        <x:v>78</x:v>
      </x:c>
      <x:c r="K68" s="46" t="n">
        <x:v>-0.059431543748843296</x:v>
      </x:c>
      <x:c r="L68" s="46" t="n">
        <x:v>-0.059431543748843296</x:v>
      </x:c>
      <x:c r="M68" s="14" t="str">
        <x:v>SAMHLJÓÐA</x:v>
      </x:c>
    </x:row>
    <x:row r="69">
      <x:c r="A69" s="14" t="n">
        <x:v>11</x:v>
      </x:c>
      <x:c r="B69" s="14" t="str">
        <x:v>SE</x:v>
      </x:c>
      <x:c r="C69" s="14" t="str">
        <x:v>Svíþjóð</x:v>
      </x:c>
      <x:c r="D69" s="14" t="str">
        <x:v>A010703</x:v>
      </x:c>
      <x:c r="E69" s="14" t="str">
        <x:v>Flutningaþjónusta</x:v>
      </x:c>
      <x:c r="F69" s="18" t="n">
        <x:v>116</x:v>
      </x:c>
      <x:c r="G69" s="46" t="n">
        <x:v>115.5476945940925</x:v>
      </x:c>
      <x:c r="H69" s="18" t="n">
        <x:v>116</x:v>
      </x:c>
      <x:c r="I69" s="46" t="n">
        <x:v>115.5476945940925</x:v>
      </x:c>
      <x:c r="J69" s="18" t="n">
        <x:v>116</x:v>
      </x:c>
      <x:c r="K69" s="46" t="n">
        <x:v>-0.45230540590749513</x:v>
      </x:c>
      <x:c r="L69" s="46" t="n">
        <x:v>-0.45230540590749513</x:v>
      </x:c>
      <x:c r="M69" s="14" t="str">
        <x:v>SAMHLJÓÐA</x:v>
      </x:c>
    </x:row>
    <x:row r="70">
      <x:c r="A70" s="14" t="n">
        <x:v>11</x:v>
      </x:c>
      <x:c r="B70" s="14" t="str">
        <x:v>SE</x:v>
      </x:c>
      <x:c r="C70" s="14" t="str">
        <x:v>Svíþjóð</x:v>
      </x:c>
      <x:c r="D70" s="14" t="str">
        <x:v>A0111</x:v>
      </x:c>
      <x:c r="E70" s="14" t="str">
        <x:v>Veitingastaðir og hótel</x:v>
      </x:c>
      <x:c r="F70" s="18" t="n">
        <x:v>94</x:v>
      </x:c>
      <x:c r="G70" s="46" t="n">
        <x:v>93.57679360951143</x:v>
      </x:c>
      <x:c r="H70" s="18" t="n">
        <x:v>94</x:v>
      </x:c>
      <x:c r="I70" s="46" t="n">
        <x:v>93.57679360951143</x:v>
      </x:c>
      <x:c r="J70" s="18" t="n">
        <x:v>94</x:v>
      </x:c>
      <x:c r="K70" s="46" t="n">
        <x:v>-0.42320639048857345</x:v>
      </x:c>
      <x:c r="L70" s="46" t="n">
        <x:v>-0.42320639048857345</x:v>
      </x:c>
      <x:c r="M70" s="14" t="str">
        <x:v>SAMHLJÓÐA</x:v>
      </x:c>
    </x:row>
    <x:row r="71">
      <x:c r="A71" s="14" t="n">
        <x:v>12</x:v>
      </x:c>
      <x:c r="B71" s="14" t="str">
        <x:v>EU27_2020</x:v>
      </x:c>
      <x:c r="C71" s="14" t="str">
        <x:v>ESB</x:v>
      </x:c>
      <x:c r="D71" s="14" t="str">
        <x:v>A01</x:v>
      </x:c>
      <x:c r="E71" s="14" t="str">
        <x:v>Einstaklingsbundin neysla</x:v>
      </x:c>
      <x:c r="F71" s="18" t="n">
        <x:v>100</x:v>
      </x:c>
      <x:c r="G71" s="46" t="n">
        <x:v>100</x:v>
      </x:c>
      <x:c r="H71" s="18" t="n">
        <x:v>100</x:v>
      </x:c>
      <x:c r="I71" s="46" t="n">
        <x:v>100</x:v>
      </x:c>
      <x:c r="J71" s="18" t="n">
        <x:v>100</x:v>
      </x:c>
      <x:c r="K71" s="46" t="n">
        <x:v>0</x:v>
      </x:c>
      <x:c r="L71" s="46" t="n">
        <x:v>0</x:v>
      </x:c>
      <x:c r="M71" s="14" t="str">
        <x:v>SAMHLJÓÐA</x:v>
      </x:c>
    </x:row>
    <x:row r="72">
      <x:c r="A72" s="14" t="n">
        <x:v>12</x:v>
      </x:c>
      <x:c r="B72" s="14" t="str">
        <x:v>EU27_2020</x:v>
      </x:c>
      <x:c r="C72" s="14" t="str">
        <x:v>ESB</x:v>
      </x:c>
      <x:c r="D72" s="14" t="str">
        <x:v>A0101</x:v>
      </x:c>
      <x:c r="E72" s="14" t="str">
        <x:v>Matur og óáfengir drykkir</x:v>
      </x:c>
      <x:c r="F72" s="18" t="n">
        <x:v>100</x:v>
      </x:c>
      <x:c r="G72" s="46" t="n">
        <x:v>100</x:v>
      </x:c>
      <x:c r="H72" s="18" t="n">
        <x:v>100</x:v>
      </x:c>
      <x:c r="I72" s="46" t="n">
        <x:v>100</x:v>
      </x:c>
      <x:c r="J72" s="18" t="n">
        <x:v>100</x:v>
      </x:c>
      <x:c r="K72" s="46" t="n">
        <x:v>0</x:v>
      </x:c>
      <x:c r="L72" s="46" t="n">
        <x:v>0</x:v>
      </x:c>
      <x:c r="M72" s="14" t="str">
        <x:v>SAMHLJÓÐA</x:v>
      </x:c>
    </x:row>
    <x:row r="73">
      <x:c r="A73" s="14" t="n">
        <x:v>12</x:v>
      </x:c>
      <x:c r="B73" s="14" t="str">
        <x:v>EU27_2020</x:v>
      </x:c>
      <x:c r="C73" s="14" t="str">
        <x:v>ESB</x:v>
      </x:c>
      <x:c r="D73" s="14" t="str">
        <x:v>A0103</x:v>
      </x:c>
      <x:c r="E73" s="14" t="str">
        <x:v>Föt og skór</x:v>
      </x:c>
      <x:c r="F73" s="18" t="n">
        <x:v>100</x:v>
      </x:c>
      <x:c r="G73" s="46" t="n">
        <x:v>100</x:v>
      </x:c>
      <x:c r="H73" s="18" t="n">
        <x:v>100</x:v>
      </x:c>
      <x:c r="I73" s="46" t="n">
        <x:v>100</x:v>
      </x:c>
      <x:c r="J73" s="18" t="n">
        <x:v>100</x:v>
      </x:c>
      <x:c r="K73" s="46" t="n">
        <x:v>0</x:v>
      </x:c>
      <x:c r="L73" s="46" t="n">
        <x:v>0</x:v>
      </x:c>
      <x:c r="M73" s="14" t="str">
        <x:v>SAMHLJÓÐA</x:v>
      </x:c>
    </x:row>
    <x:row r="74">
      <x:c r="A74" s="14" t="n">
        <x:v>12</x:v>
      </x:c>
      <x:c r="B74" s="14" t="str">
        <x:v>EU27_2020</x:v>
      </x:c>
      <x:c r="C74" s="14" t="str">
        <x:v>ESB</x:v>
      </x:c>
      <x:c r="D74" s="14" t="str">
        <x:v>A010405</x:v>
      </x:c>
      <x:c r="E74" s="14" t="str">
        <x:v>Rafmagn, gas og annað eldsneyti</x:v>
      </x:c>
      <x:c r="F74" s="18" t="n">
        <x:v>100</x:v>
      </x:c>
      <x:c r="G74" s="46" t="n">
        <x:v>100</x:v>
      </x:c>
      <x:c r="H74" s="18" t="n">
        <x:v>100</x:v>
      </x:c>
      <x:c r="I74" s="46" t="n">
        <x:v>100</x:v>
      </x:c>
      <x:c r="J74" s="18" t="n">
        <x:v>100</x:v>
      </x:c>
      <x:c r="K74" s="46" t="n">
        <x:v>0</x:v>
      </x:c>
      <x:c r="L74" s="46" t="n">
        <x:v>0</x:v>
      </x:c>
      <x:c r="M74" s="14" t="str">
        <x:v>SAMHLJÓÐA</x:v>
      </x:c>
    </x:row>
    <x:row r="75">
      <x:c r="A75" s="14" t="n">
        <x:v>12</x:v>
      </x:c>
      <x:c r="B75" s="14" t="str">
        <x:v>EU27_2020</x:v>
      </x:c>
      <x:c r="C75" s="14" t="str">
        <x:v>ESB</x:v>
      </x:c>
      <x:c r="D75" s="14" t="str">
        <x:v>A010703</x:v>
      </x:c>
      <x:c r="E75" s="14" t="str">
        <x:v>Flutningaþjónusta</x:v>
      </x:c>
      <x:c r="F75" s="18" t="n">
        <x:v>100</x:v>
      </x:c>
      <x:c r="G75" s="46" t="n">
        <x:v>100</x:v>
      </x:c>
      <x:c r="H75" s="18" t="n">
        <x:v>100</x:v>
      </x:c>
      <x:c r="I75" s="46" t="n">
        <x:v>100</x:v>
      </x:c>
      <x:c r="J75" s="18" t="n">
        <x:v>100</x:v>
      </x:c>
      <x:c r="K75" s="46" t="n">
        <x:v>0</x:v>
      </x:c>
      <x:c r="L75" s="46" t="n">
        <x:v>0</x:v>
      </x:c>
      <x:c r="M75" s="14" t="str">
        <x:v>SAMHLJÓÐA</x:v>
      </x:c>
    </x:row>
    <x:row r="76">
      <x:c r="A76" s="14" t="n">
        <x:v>12</x:v>
      </x:c>
      <x:c r="B76" s="14" t="str">
        <x:v>EU27_2020</x:v>
      </x:c>
      <x:c r="C76" s="14" t="str">
        <x:v>ESB</x:v>
      </x:c>
      <x:c r="D76" s="14" t="str">
        <x:v>A0111</x:v>
      </x:c>
      <x:c r="E76" s="14" t="str">
        <x:v>Veitingastaðir og hótel</x:v>
      </x:c>
      <x:c r="F76" s="18" t="n">
        <x:v>100</x:v>
      </x:c>
      <x:c r="G76" s="46" t="n">
        <x:v>100</x:v>
      </x:c>
      <x:c r="H76" s="18" t="n">
        <x:v>100</x:v>
      </x:c>
      <x:c r="I76" s="46" t="n">
        <x:v>100</x:v>
      </x:c>
      <x:c r="J76" s="18" t="n">
        <x:v>100</x:v>
      </x:c>
      <x:c r="K76" s="46" t="n">
        <x:v>0</x:v>
      </x:c>
      <x:c r="L76" s="46" t="n">
        <x:v>0</x:v>
      </x:c>
      <x:c r="M76" s="14" t="str">
        <x:v>SAMHLJÓÐA</x:v>
      </x:c>
    </x:row>
    <x:row r="77">
      <x:c r="A77" s="14" t="n">
        <x:v>13</x:v>
      </x:c>
      <x:c r="B77" s="14" t="str">
        <x:v>ES</x:v>
      </x:c>
      <x:c r="C77" s="14" t="str">
        <x:v>Spánn</x:v>
      </x:c>
      <x:c r="D77" s="14" t="str">
        <x:v>A01</x:v>
      </x:c>
      <x:c r="E77" s="14" t="str">
        <x:v>Einstaklingsbundin neysla</x:v>
      </x:c>
      <x:c r="F77" s="18" t="n">
        <x:v>101</x:v>
      </x:c>
      <x:c r="G77" s="46" t="n">
        <x:v>101.38744496814627</x:v>
      </x:c>
      <x:c r="H77" s="18" t="n">
        <x:v>101</x:v>
      </x:c>
      <x:c r="I77" s="46" t="n">
        <x:v>101.38744496814627</x:v>
      </x:c>
      <x:c r="J77" s="18" t="n">
        <x:v>101</x:v>
      </x:c>
      <x:c r="K77" s="46" t="n">
        <x:v>0.3874449681462693</x:v>
      </x:c>
      <x:c r="L77" s="46" t="n">
        <x:v>0.3874449681462693</x:v>
      </x:c>
      <x:c r="M77" s="14" t="str">
        <x:v>SAMHLJÓÐA</x:v>
      </x:c>
    </x:row>
    <x:row r="78">
      <x:c r="A78" s="14" t="n">
        <x:v>13</x:v>
      </x:c>
      <x:c r="B78" s="14" t="str">
        <x:v>ES</x:v>
      </x:c>
      <x:c r="C78" s="14" t="str">
        <x:v>Spánn</x:v>
      </x:c>
      <x:c r="D78" s="14" t="str">
        <x:v>A0101</x:v>
      </x:c>
      <x:c r="E78" s="14" t="str">
        <x:v>Matur og óáfengir drykkir</x:v>
      </x:c>
      <x:c r="F78" s="18" t="n">
        <x:v>106</x:v>
      </x:c>
      <x:c r="G78" s="46" t="n">
        <x:v>106.41769306469156</x:v>
      </x:c>
      <x:c r="H78" s="18" t="n">
        <x:v>106</x:v>
      </x:c>
      <x:c r="I78" s="46" t="n">
        <x:v>106.41769306469156</x:v>
      </x:c>
      <x:c r="J78" s="18" t="n">
        <x:v>106</x:v>
      </x:c>
      <x:c r="K78" s="46" t="n">
        <x:v>0.4176930646915622</x:v>
      </x:c>
      <x:c r="L78" s="46" t="n">
        <x:v>0.4176930646915622</x:v>
      </x:c>
      <x:c r="M78" s="14" t="str">
        <x:v>SAMHLJÓÐA</x:v>
      </x:c>
    </x:row>
    <x:row r="79">
      <x:c r="A79" s="14" t="n">
        <x:v>13</x:v>
      </x:c>
      <x:c r="B79" s="14" t="str">
        <x:v>ES</x:v>
      </x:c>
      <x:c r="C79" s="14" t="str">
        <x:v>Spánn</x:v>
      </x:c>
      <x:c r="D79" s="14" t="str">
        <x:v>A0103</x:v>
      </x:c>
      <x:c r="E79" s="14" t="str">
        <x:v>Föt og skór</x:v>
      </x:c>
      <x:c r="F79" s="18" t="n">
        <x:v>102</x:v>
      </x:c>
      <x:c r="G79" s="46" t="n">
        <x:v>101.61101155021495</x:v>
      </x:c>
      <x:c r="H79" s="18" t="n">
        <x:v>102</x:v>
      </x:c>
      <x:c r="I79" s="46" t="n">
        <x:v>101.61101155021495</x:v>
      </x:c>
      <x:c r="J79" s="18" t="n">
        <x:v>102</x:v>
      </x:c>
      <x:c r="K79" s="46" t="n">
        <x:v>-0.388988449785046</x:v>
      </x:c>
      <x:c r="L79" s="46" t="n">
        <x:v>-0.388988449785046</x:v>
      </x:c>
      <x:c r="M79" s="14" t="str">
        <x:v>SAMHLJÓÐA</x:v>
      </x:c>
    </x:row>
    <x:row r="80">
      <x:c r="A80" s="14" t="n">
        <x:v>13</x:v>
      </x:c>
      <x:c r="B80" s="14" t="str">
        <x:v>ES</x:v>
      </x:c>
      <x:c r="C80" s="14" t="str">
        <x:v>Spánn</x:v>
      </x:c>
      <x:c r="D80" s="14" t="str">
        <x:v>A010405</x:v>
      </x:c>
      <x:c r="E80" s="14" t="str">
        <x:v>Rafmagn, gas og annað eldsneyti</x:v>
      </x:c>
      <x:c r="F80" s="18" t="n">
        <x:v>99</x:v>
      </x:c>
      <x:c r="G80" s="46" t="n">
        <x:v>99.48712902056249</x:v>
      </x:c>
      <x:c r="H80" s="18" t="n">
        <x:v>99</x:v>
      </x:c>
      <x:c r="I80" s="46" t="n">
        <x:v>99.48712902056249</x:v>
      </x:c>
      <x:c r="J80" s="18" t="n">
        <x:v>99</x:v>
      </x:c>
      <x:c r="K80" s="46" t="n">
        <x:v>0.48712902056249163</x:v>
      </x:c>
      <x:c r="L80" s="46" t="n">
        <x:v>0.48712902056249163</x:v>
      </x:c>
      <x:c r="M80" s="14" t="str">
        <x:v>SAMHLJÓÐA</x:v>
      </x:c>
    </x:row>
    <x:row r="81">
      <x:c r="A81" s="14" t="n">
        <x:v>13</x:v>
      </x:c>
      <x:c r="B81" s="14" t="str">
        <x:v>ES</x:v>
      </x:c>
      <x:c r="C81" s="14" t="str">
        <x:v>Spánn</x:v>
      </x:c>
      <x:c r="D81" s="14" t="str">
        <x:v>A010703</x:v>
      </x:c>
      <x:c r="E81" s="14" t="str">
        <x:v>Flutningaþjónusta</x:v>
      </x:c>
      <x:c r="F81" s="18" t="n">
        <x:v>91</x:v>
      </x:c>
      <x:c r="G81" s="46" t="n">
        <x:v>91.103382192987</x:v>
      </x:c>
      <x:c r="H81" s="18" t="n">
        <x:v>91</x:v>
      </x:c>
      <x:c r="I81" s="46" t="n">
        <x:v>91.103382192987</x:v>
      </x:c>
      <x:c r="J81" s="18" t="n">
        <x:v>91</x:v>
      </x:c>
      <x:c r="K81" s="46" t="n">
        <x:v>0.10338219298699869</x:v>
      </x:c>
      <x:c r="L81" s="46" t="n">
        <x:v>0.10338219298699869</x:v>
      </x:c>
      <x:c r="M81" s="14" t="str">
        <x:v>SAMHLJÓÐA</x:v>
      </x:c>
    </x:row>
    <x:row r="82">
      <x:c r="A82" s="14" t="n">
        <x:v>13</x:v>
      </x:c>
      <x:c r="B82" s="14" t="str">
        <x:v>ES</x:v>
      </x:c>
      <x:c r="C82" s="14" t="str">
        <x:v>Spánn</x:v>
      </x:c>
      <x:c r="D82" s="14" t="str">
        <x:v>A0111</x:v>
      </x:c>
      <x:c r="E82" s="14" t="str">
        <x:v>Veitingastaðir og hótel</x:v>
      </x:c>
      <x:c r="F82" s="18" t="n">
        <x:v>94</x:v>
      </x:c>
      <x:c r="G82" s="46" t="n">
        <x:v>93.78618117781116</x:v>
      </x:c>
      <x:c r="H82" s="18" t="n">
        <x:v>94</x:v>
      </x:c>
      <x:c r="I82" s="46" t="n">
        <x:v>93.78618117781116</x:v>
      </x:c>
      <x:c r="J82" s="18" t="n">
        <x:v>94</x:v>
      </x:c>
      <x:c r="K82" s="46" t="n">
        <x:v>-0.2138188221888413</x:v>
      </x:c>
      <x:c r="L82" s="46" t="n">
        <x:v>-0.2138188221888413</x:v>
      </x:c>
      <x:c r="M82" s="14" t="str">
        <x:v>SAMHLJÓÐA</x:v>
      </x:c>
    </x:row>
    <x:row r="83">
      <x:c r="A83" s="14" t="n">
        <x:v>14</x:v>
      </x:c>
      <x:c r="B83" s="14" t="str">
        <x:v>IT</x:v>
      </x:c>
      <x:c r="C83" s="14" t="str">
        <x:v>Ítalía</x:v>
      </x:c>
      <x:c r="D83" s="14" t="str">
        <x:v>A01</x:v>
      </x:c>
      <x:c r="E83" s="14" t="str">
        <x:v>Einstaklingsbundin neysla</x:v>
      </x:c>
      <x:c r="F83" s="18" t="n">
        <x:v>103</x:v>
      </x:c>
      <x:c r="G83" s="46" t="n">
        <x:v>102.75147779665129</x:v>
      </x:c>
      <x:c r="H83" s="18" t="n">
        <x:v>103</x:v>
      </x:c>
      <x:c r="I83" s="46" t="n">
        <x:v>102.75147779665129</x:v>
      </x:c>
      <x:c r="J83" s="18" t="n">
        <x:v>103</x:v>
      </x:c>
      <x:c r="K83" s="46" t="n">
        <x:v>-0.24852220334871333</x:v>
      </x:c>
      <x:c r="L83" s="46" t="n">
        <x:v>-0.24852220334871333</x:v>
      </x:c>
      <x:c r="M83" s="14" t="str">
        <x:v>SAMHLJÓÐA</x:v>
      </x:c>
    </x:row>
    <x:row r="84">
      <x:c r="A84" s="14" t="n">
        <x:v>14</x:v>
      </x:c>
      <x:c r="B84" s="14" t="str">
        <x:v>IT</x:v>
      </x:c>
      <x:c r="C84" s="14" t="str">
        <x:v>Ítalía</x:v>
      </x:c>
      <x:c r="D84" s="14" t="str">
        <x:v>A0101</x:v>
      </x:c>
      <x:c r="E84" s="14" t="str">
        <x:v>Matur og óáfengir drykkir</x:v>
      </x:c>
      <x:c r="F84" s="18" t="n">
        <x:v>107</x:v>
      </x:c>
      <x:c r="G84" s="46" t="n">
        <x:v>106.52217422955593</x:v>
      </x:c>
      <x:c r="H84" s="18" t="n">
        <x:v>107</x:v>
      </x:c>
      <x:c r="I84" s="46" t="n">
        <x:v>106.52217422955593</x:v>
      </x:c>
      <x:c r="J84" s="18" t="n">
        <x:v>107</x:v>
      </x:c>
      <x:c r="K84" s="46" t="n">
        <x:v>-0.4778257704440705</x:v>
      </x:c>
      <x:c r="L84" s="46" t="n">
        <x:v>-0.4778257704440705</x:v>
      </x:c>
      <x:c r="M84" s="14" t="str">
        <x:v>SAMHLJÓÐA</x:v>
      </x:c>
    </x:row>
    <x:row r="85">
      <x:c r="A85" s="14" t="n">
        <x:v>14</x:v>
      </x:c>
      <x:c r="B85" s="14" t="str">
        <x:v>IT</x:v>
      </x:c>
      <x:c r="C85" s="14" t="str">
        <x:v>Ítalía</x:v>
      </x:c>
      <x:c r="D85" s="14" t="str">
        <x:v>A0103</x:v>
      </x:c>
      <x:c r="E85" s="14" t="str">
        <x:v>Föt og skór</x:v>
      </x:c>
      <x:c r="F85" s="18" t="n">
        <x:v>112</x:v>
      </x:c>
      <x:c r="G85" s="46" t="n">
        <x:v>111.96873574375152</x:v>
      </x:c>
      <x:c r="H85" s="18" t="n">
        <x:v>112</x:v>
      </x:c>
      <x:c r="I85" s="46" t="n">
        <x:v>111.96873574375152</x:v>
      </x:c>
      <x:c r="J85" s="18" t="n">
        <x:v>112</x:v>
      </x:c>
      <x:c r="K85" s="46" t="n">
        <x:v>-0.03126425624847684</x:v>
      </x:c>
      <x:c r="L85" s="46" t="n">
        <x:v>-0.03126425624847684</x:v>
      </x:c>
      <x:c r="M85" s="14" t="str">
        <x:v>SAMHLJÓÐA</x:v>
      </x:c>
    </x:row>
    <x:row r="86">
      <x:c r="A86" s="14" t="n">
        <x:v>14</x:v>
      </x:c>
      <x:c r="B86" s="14" t="str">
        <x:v>IT</x:v>
      </x:c>
      <x:c r="C86" s="14" t="str">
        <x:v>Ítalía</x:v>
      </x:c>
      <x:c r="D86" s="14" t="str">
        <x:v>A010405</x:v>
      </x:c>
      <x:c r="E86" s="14" t="str">
        <x:v>Rafmagn, gas og annað eldsneyti</x:v>
      </x:c>
      <x:c r="F86" s="18" t="n">
        <x:v>123</x:v>
      </x:c>
      <x:c r="G86" s="46" t="n">
        <x:v>123.4903081776268</x:v>
      </x:c>
      <x:c r="H86" s="18" t="n">
        <x:v>123</x:v>
      </x:c>
      <x:c r="I86" s="46" t="n">
        <x:v>123.4903081776268</x:v>
      </x:c>
      <x:c r="J86" s="18" t="n">
        <x:v>123</x:v>
      </x:c>
      <x:c r="K86" s="46" t="n">
        <x:v>0.490308177626801</x:v>
      </x:c>
      <x:c r="L86" s="46" t="n">
        <x:v>0.490308177626801</x:v>
      </x:c>
      <x:c r="M86" s="14" t="str">
        <x:v>SAMHLJÓÐA</x:v>
      </x:c>
    </x:row>
    <x:row r="87">
      <x:c r="A87" s="14" t="n">
        <x:v>14</x:v>
      </x:c>
      <x:c r="B87" s="14" t="str">
        <x:v>IT</x:v>
      </x:c>
      <x:c r="C87" s="14" t="str">
        <x:v>Ítalía</x:v>
      </x:c>
      <x:c r="D87" s="14" t="str">
        <x:v>A010703</x:v>
      </x:c>
      <x:c r="E87" s="14" t="str">
        <x:v>Flutningaþjónusta</x:v>
      </x:c>
      <x:c r="F87" s="18" t="n">
        <x:v>89</x:v>
      </x:c>
      <x:c r="G87" s="46" t="n">
        <x:v>88.82084930842028</x:v>
      </x:c>
      <x:c r="H87" s="18" t="n">
        <x:v>89</x:v>
      </x:c>
      <x:c r="I87" s="46" t="n">
        <x:v>88.82084930842028</x:v>
      </x:c>
      <x:c r="J87" s="18" t="n">
        <x:v>89</x:v>
      </x:c>
      <x:c r="K87" s="46" t="n">
        <x:v>-0.1791506915797214</x:v>
      </x:c>
      <x:c r="L87" s="46" t="n">
        <x:v>-0.1791506915797214</x:v>
      </x:c>
      <x:c r="M87" s="14" t="str">
        <x:v>SAMHLJÓÐA</x:v>
      </x:c>
    </x:row>
    <x:row r="88">
      <x:c r="A88" s="14" t="n">
        <x:v>14</x:v>
      </x:c>
      <x:c r="B88" s="14" t="str">
        <x:v>IT</x:v>
      </x:c>
      <x:c r="C88" s="14" t="str">
        <x:v>Ítalía</x:v>
      </x:c>
      <x:c r="D88" s="14" t="str">
        <x:v>A0111</x:v>
      </x:c>
      <x:c r="E88" s="14" t="str">
        <x:v>Veitingastaðir og hótel</x:v>
      </x:c>
      <x:c r="F88" s="18" t="n">
        <x:v>112</x:v>
      </x:c>
      <x:c r="G88" s="46" t="n">
        <x:v>111.96873574375152</x:v>
      </x:c>
      <x:c r="H88" s="18" t="n">
        <x:v>112</x:v>
      </x:c>
      <x:c r="I88" s="46" t="n">
        <x:v>111.96873574375152</x:v>
      </x:c>
      <x:c r="J88" s="18" t="n">
        <x:v>112</x:v>
      </x:c>
      <x:c r="K88" s="46" t="n">
        <x:v>-0.03126425624847684</x:v>
      </x:c>
      <x:c r="L88" s="46" t="n">
        <x:v>-0.03126425624847684</x:v>
      </x:c>
      <x:c r="M88" s="14" t="str">
        <x:v>SAMHLJÓÐA</x:v>
      </x:c>
    </x:row>
    <x:row r="89">
      <x:c r="A89" s="14" t="n">
        <x:v>15</x:v>
      </x:c>
      <x:c r="B89" s="14" t="str">
        <x:v>PL</x:v>
      </x:c>
      <x:c r="C89" s="14" t="str">
        <x:v>Pólland</x:v>
      </x:c>
      <x:c r="D89" s="14" t="str">
        <x:v>A01</x:v>
      </x:c>
      <x:c r="E89" s="14" t="str">
        <x:v>Einstaklingsbundin neysla</x:v>
      </x:c>
      <x:c r="F89" s="18" t="n">
        <x:v>127</x:v>
      </x:c>
      <x:c r="G89" s="46" t="n">
        <x:v>127.09138495092694</x:v>
      </x:c>
      <x:c r="H89" s="18" t="n">
        <x:v>127</x:v>
      </x:c>
      <x:c r="I89" s="46" t="n">
        <x:v>127.09138495092694</x:v>
      </x:c>
      <x:c r="J89" s="18" t="n">
        <x:v>127</x:v>
      </x:c>
      <x:c r="K89" s="46" t="n">
        <x:v>0.09138495092693688</x:v>
      </x:c>
      <x:c r="L89" s="46" t="n">
        <x:v>0.09138495092693688</x:v>
      </x:c>
      <x:c r="M89" s="14" t="str">
        <x:v>SAMHLJÓÐA</x:v>
      </x:c>
    </x:row>
    <x:row r="90">
      <x:c r="A90" s="14" t="n">
        <x:v>15</x:v>
      </x:c>
      <x:c r="B90" s="14" t="str">
        <x:v>PL</x:v>
      </x:c>
      <x:c r="C90" s="14" t="str">
        <x:v>Pólland</x:v>
      </x:c>
      <x:c r="D90" s="14" t="str">
        <x:v>A0101</x:v>
      </x:c>
      <x:c r="E90" s="14" t="str">
        <x:v>Matur og óáfengir drykkir</x:v>
      </x:c>
      <x:c r="F90" s="18" t="n">
        <x:v>157</x:v>
      </x:c>
      <x:c r="G90" s="46" t="n">
        <x:v>157.14433352906636</x:v>
      </x:c>
      <x:c r="H90" s="18" t="n">
        <x:v>157</x:v>
      </x:c>
      <x:c r="I90" s="46" t="n">
        <x:v>157.14433352906636</x:v>
      </x:c>
      <x:c r="J90" s="18" t="n">
        <x:v>157</x:v>
      </x:c>
      <x:c r="K90" s="46" t="n">
        <x:v>0.14433352906635832</x:v>
      </x:c>
      <x:c r="L90" s="46" t="n">
        <x:v>0.14433352906635832</x:v>
      </x:c>
      <x:c r="M90" s="14" t="str">
        <x:v>SAMHLJÓÐA</x:v>
      </x:c>
    </x:row>
    <x:row r="91">
      <x:c r="A91" s="14" t="n">
        <x:v>15</x:v>
      </x:c>
      <x:c r="B91" s="14" t="str">
        <x:v>PL</x:v>
      </x:c>
      <x:c r="C91" s="14" t="str">
        <x:v>Pólland</x:v>
      </x:c>
      <x:c r="D91" s="14" t="str">
        <x:v>A0103</x:v>
      </x:c>
      <x:c r="E91" s="14" t="str">
        <x:v>Föt og skór</x:v>
      </x:c>
      <x:c r="F91" s="18" t="n">
        <x:v>187</x:v>
      </x:c>
      <x:c r="G91" s="46" t="n">
        <x:v>186.6541565304924</x:v>
      </x:c>
      <x:c r="H91" s="18" t="n">
        <x:v>187</x:v>
      </x:c>
      <x:c r="I91" s="46" t="n">
        <x:v>186.6541565304924</x:v>
      </x:c>
      <x:c r="J91" s="18" t="n">
        <x:v>187</x:v>
      </x:c>
      <x:c r="K91" s="46" t="n">
        <x:v>-0.34584346950759937</x:v>
      </x:c>
      <x:c r="L91" s="46" t="n">
        <x:v>-0.34584346950759937</x:v>
      </x:c>
      <x:c r="M91" s="14" t="str">
        <x:v>SAMHLJÓÐA</x:v>
      </x:c>
    </x:row>
    <x:row r="92">
      <x:c r="A92" s="14" t="n">
        <x:v>15</x:v>
      </x:c>
      <x:c r="B92" s="14" t="str">
        <x:v>PL</x:v>
      </x:c>
      <x:c r="C92" s="14" t="str">
        <x:v>Pólland</x:v>
      </x:c>
      <x:c r="D92" s="14" t="str">
        <x:v>A010405</x:v>
      </x:c>
      <x:c r="E92" s="14" t="str">
        <x:v>Rafmagn, gas og annað eldsneyti</x:v>
      </x:c>
      <x:c r="F92" s="18" t="n">
        <x:v>152</x:v>
      </x:c>
      <x:c r="G92" s="46" t="n">
        <x:v>151.7130777619327</x:v>
      </x:c>
      <x:c r="H92" s="18" t="n">
        <x:v>152</x:v>
      </x:c>
      <x:c r="I92" s="46" t="n">
        <x:v>151.7130777619327</x:v>
      </x:c>
      <x:c r="J92" s="18" t="n">
        <x:v>152</x:v>
      </x:c>
      <x:c r="K92" s="46" t="n">
        <x:v>-0.2869222380672909</x:v>
      </x:c>
      <x:c r="L92" s="46" t="n">
        <x:v>-0.2869222380672909</x:v>
      </x:c>
      <x:c r="M92" s="14" t="str">
        <x:v>SAMHLJÓÐA</x:v>
      </x:c>
    </x:row>
    <x:row r="93">
      <x:c r="A93" s="14" t="n">
        <x:v>15</x:v>
      </x:c>
      <x:c r="B93" s="14" t="str">
        <x:v>PL</x:v>
      </x:c>
      <x:c r="C93" s="14" t="str">
        <x:v>Pólland</x:v>
      </x:c>
      <x:c r="D93" s="14" t="str">
        <x:v>A010703</x:v>
      </x:c>
      <x:c r="E93" s="14" t="str">
        <x:v>Flutningaþjónusta</x:v>
      </x:c>
      <x:c r="F93" s="18" t="n">
        <x:v>124</x:v>
      </x:c>
      <x:c r="G93" s="46" t="n">
        <x:v>124.37575706736013</x:v>
      </x:c>
      <x:c r="H93" s="18" t="n">
        <x:v>124</x:v>
      </x:c>
      <x:c r="I93" s="46" t="n">
        <x:v>124.37575706736013</x:v>
      </x:c>
      <x:c r="J93" s="18" t="n">
        <x:v>124</x:v>
      </x:c>
      <x:c r="K93" s="46" t="n">
        <x:v>0.3757570673601265</x:v>
      </x:c>
      <x:c r="L93" s="46" t="n">
        <x:v>0.3757570673601265</x:v>
      </x:c>
      <x:c r="M93" s="14" t="str">
        <x:v>SAMHLJÓÐA</x:v>
      </x:c>
    </x:row>
    <x:row r="94">
      <x:c r="A94" s="14" t="n">
        <x:v>15</x:v>
      </x:c>
      <x:c r="B94" s="14" t="str">
        <x:v>PL</x:v>
      </x:c>
      <x:c r="C94" s="14" t="str">
        <x:v>Pólland</x:v>
      </x:c>
      <x:c r="D94" s="14" t="str">
        <x:v>A0111</x:v>
      </x:c>
      <x:c r="E94" s="14" t="str">
        <x:v>Veitingastaðir og hótel</x:v>
      </x:c>
      <x:c r="F94" s="18" t="n">
        <x:v>166</x:v>
      </x:c>
      <x:c r="G94" s="46" t="n">
        <x:v>166.01538461538462</x:v>
      </x:c>
      <x:c r="H94" s="18" t="n">
        <x:v>166</x:v>
      </x:c>
      <x:c r="I94" s="46" t="n">
        <x:v>166.01538461538462</x:v>
      </x:c>
      <x:c r="J94" s="18" t="n">
        <x:v>166</x:v>
      </x:c>
      <x:c r="K94" s="46" t="n">
        <x:v>0.015384615384618883</x:v>
      </x:c>
      <x:c r="L94" s="46" t="n">
        <x:v>0.015384615384618883</x:v>
      </x:c>
      <x:c r="M94" s="14" t="str">
        <x:v>SAMHLJÓÐA</x:v>
      </x:c>
    </x:row>
    <x:row r="95">
      <x:c r="A95" s="14" t="n">
        <x:v>16</x:v>
      </x:c>
      <x:c r="B95" s="14" t="str">
        <x:v>LV</x:v>
      </x:c>
      <x:c r="C95" s="14" t="str">
        <x:v>Lettland</x:v>
      </x:c>
      <x:c r="D95" s="14" t="str">
        <x:v>A01</x:v>
      </x:c>
      <x:c r="E95" s="14" t="str">
        <x:v>Einstaklingsbundin neysla</x:v>
      </x:c>
      <x:c r="F95" s="18" t="n">
        <x:v>130</x:v>
      </x:c>
      <x:c r="G95" s="46" t="n">
        <x:v>129.95323297714688</x:v>
      </x:c>
      <x:c r="H95" s="18" t="n">
        <x:v>130</x:v>
      </x:c>
      <x:c r="I95" s="46" t="n">
        <x:v>129.95323297714688</x:v>
      </x:c>
      <x:c r="J95" s="18" t="n">
        <x:v>130</x:v>
      </x:c>
      <x:c r="K95" s="46" t="n">
        <x:v>-0.046767022853117624</x:v>
      </x:c>
      <x:c r="L95" s="46" t="n">
        <x:v>-0.046767022853117624</x:v>
      </x:c>
      <x:c r="M95" s="14" t="str">
        <x:v>SAMHLJÓÐA</x:v>
      </x:c>
    </x:row>
    <x:row r="96">
      <x:c r="A96" s="14" t="n">
        <x:v>16</x:v>
      </x:c>
      <x:c r="B96" s="14" t="str">
        <x:v>LV</x:v>
      </x:c>
      <x:c r="C96" s="14" t="str">
        <x:v>Lettland</x:v>
      </x:c>
      <x:c r="D96" s="14" t="str">
        <x:v>A0101</x:v>
      </x:c>
      <x:c r="E96" s="14" t="str">
        <x:v>Matur og óáfengir drykkir</x:v>
      </x:c>
      <x:c r="F96" s="18" t="n">
        <x:v>177</x:v>
      </x:c>
      <x:c r="G96" s="46" t="n">
        <x:v>177.4231963185399</x:v>
      </x:c>
      <x:c r="H96" s="18" t="n">
        <x:v>177</x:v>
      </x:c>
      <x:c r="I96" s="46" t="n">
        <x:v>177.4231963185399</x:v>
      </x:c>
      <x:c r="J96" s="18" t="n">
        <x:v>177</x:v>
      </x:c>
      <x:c r="K96" s="46" t="n">
        <x:v>0.42319631853990813</x:v>
      </x:c>
      <x:c r="L96" s="46" t="n">
        <x:v>0.42319631853990813</x:v>
      </x:c>
      <x:c r="M96" s="14" t="str">
        <x:v>SAMHLJÓÐA</x:v>
      </x:c>
    </x:row>
    <x:row r="97">
      <x:c r="A97" s="14" t="n">
        <x:v>16</x:v>
      </x:c>
      <x:c r="B97" s="14" t="str">
        <x:v>LV</x:v>
      </x:c>
      <x:c r="C97" s="14" t="str">
        <x:v>Lettland</x:v>
      </x:c>
      <x:c r="D97" s="14" t="str">
        <x:v>A0103</x:v>
      </x:c>
      <x:c r="E97" s="14" t="str">
        <x:v>Föt og skór</x:v>
      </x:c>
      <x:c r="F97" s="18" t="n">
        <x:v>172</x:v>
      </x:c>
      <x:c r="G97" s="46" t="n">
        <x:v>172.03653381171517</x:v>
      </x:c>
      <x:c r="H97" s="18" t="n">
        <x:v>172</x:v>
      </x:c>
      <x:c r="I97" s="46" t="n">
        <x:v>172.03653381171517</x:v>
      </x:c>
      <x:c r="J97" s="18" t="n">
        <x:v>172</x:v>
      </x:c>
      <x:c r="K97" s="46" t="n">
        <x:v>0.03653381171517367</x:v>
      </x:c>
      <x:c r="L97" s="46" t="n">
        <x:v>0.03653381171517367</x:v>
      </x:c>
      <x:c r="M97" s="14" t="str">
        <x:v>SAMHLJÓÐA</x:v>
      </x:c>
    </x:row>
    <x:row r="98">
      <x:c r="A98" s="14" t="n">
        <x:v>16</x:v>
      </x:c>
      <x:c r="B98" s="14" t="str">
        <x:v>LV</x:v>
      </x:c>
      <x:c r="C98" s="14" t="str">
        <x:v>Lettland</x:v>
      </x:c>
      <x:c r="D98" s="14" t="str">
        <x:v>A010405</x:v>
      </x:c>
      <x:c r="E98" s="14" t="str">
        <x:v>Rafmagn, gas og annað eldsneyti</x:v>
      </x:c>
      <x:c r="F98" s="18" t="n">
        <x:v>152</x:v>
      </x:c>
      <x:c r="G98" s="46" t="n">
        <x:v>152.3415490211372</x:v>
      </x:c>
      <x:c r="H98" s="18" t="n">
        <x:v>152</x:v>
      </x:c>
      <x:c r="I98" s="46" t="n">
        <x:v>152.3415490211372</x:v>
      </x:c>
      <x:c r="J98" s="18" t="n">
        <x:v>152</x:v>
      </x:c>
      <x:c r="K98" s="46" t="n">
        <x:v>0.34154902113721164</x:v>
      </x:c>
      <x:c r="L98" s="46" t="n">
        <x:v>0.34154902113721164</x:v>
      </x:c>
      <x:c r="M98" s="14" t="str">
        <x:v>SAMHLJÓÐA</x:v>
      </x:c>
    </x:row>
    <x:row r="99">
      <x:c r="A99" s="14" t="n">
        <x:v>16</x:v>
      </x:c>
      <x:c r="B99" s="14" t="str">
        <x:v>LV</x:v>
      </x:c>
      <x:c r="C99" s="14" t="str">
        <x:v>Lettland</x:v>
      </x:c>
      <x:c r="D99" s="14" t="str">
        <x:v>A010703</x:v>
      </x:c>
      <x:c r="E99" s="14" t="str">
        <x:v>Flutningaþjónusta</x:v>
      </x:c>
      <x:c r="F99" s="18" t="n">
        <x:v>120</x:v>
      </x:c>
      <x:c r="G99" s="46" t="n">
        <x:v>120.3582403868653</x:v>
      </x:c>
      <x:c r="H99" s="18" t="n">
        <x:v>120</x:v>
      </x:c>
      <x:c r="I99" s="46" t="n">
        <x:v>120.3582403868653</x:v>
      </x:c>
      <x:c r="J99" s="18" t="n">
        <x:v>120</x:v>
      </x:c>
      <x:c r="K99" s="46" t="n">
        <x:v>0.35824038686530457</x:v>
      </x:c>
      <x:c r="L99" s="46" t="n">
        <x:v>0.35824038686530457</x:v>
      </x:c>
      <x:c r="M99" s="14" t="str">
        <x:v>SAMHLJÓÐA</x:v>
      </x:c>
    </x:row>
    <x:row r="100">
      <x:c r="A100" s="14" t="n">
        <x:v>16</x:v>
      </x:c>
      <x:c r="B100" s="14" t="str">
        <x:v>LV</x:v>
      </x:c>
      <x:c r="C100" s="14" t="str">
        <x:v>Lettland</x:v>
      </x:c>
      <x:c r="D100" s="14" t="str">
        <x:v>A0111</x:v>
      </x:c>
      <x:c r="E100" s="14" t="str">
        <x:v>Veitingastaðir og hótel</x:v>
      </x:c>
      <x:c r="F100" s="18" t="n">
        <x:v>153</x:v>
      </x:c>
      <x:c r="G100" s="46" t="n">
        <x:v>153.0148818344903</x:v>
      </x:c>
      <x:c r="H100" s="18" t="n">
        <x:v>153</x:v>
      </x:c>
      <x:c r="I100" s="46" t="n">
        <x:v>153.0148818344903</x:v>
      </x:c>
      <x:c r="J100" s="18" t="n">
        <x:v>153</x:v>
      </x:c>
      <x:c r="K100" s="46" t="n">
        <x:v>0.014881834490296342</x:v>
      </x:c>
      <x:c r="L100" s="46" t="n">
        <x:v>0.014881834490296342</x:v>
      </x:c>
      <x:c r="M100" s="14" t="str">
        <x:v>SAMHLJÓÐA</x:v>
      </x:c>
    </x:row>
    <x:row r="101">
      <x:c r="A101" s="14" t="n">
        <x:v>17</x:v>
      </x:c>
      <x:c r="B101" s="14" t="str">
        <x:v>EL</x:v>
      </x:c>
      <x:c r="C101" s="14" t="str">
        <x:v>Grikkland</x:v>
      </x:c>
      <x:c r="D101" s="14" t="str">
        <x:v>A01</x:v>
      </x:c>
      <x:c r="E101" s="14" t="str">
        <x:v>Einstaklingsbundin neysla</x:v>
      </x:c>
      <x:c r="F101" s="18" t="n">
        <x:v>165</x:v>
      </x:c>
      <x:c r="G101" s="46" t="n">
        <x:v>165.0973271889401</x:v>
      </x:c>
      <x:c r="H101" s="18" t="n">
        <x:v>165</x:v>
      </x:c>
      <x:c r="I101" s="46" t="n">
        <x:v>165.0973271889401</x:v>
      </x:c>
      <x:c r="J101" s="18" t="n">
        <x:v>165</x:v>
      </x:c>
      <x:c r="K101" s="46" t="n">
        <x:v>0.09732718894011327</x:v>
      </x:c>
      <x:c r="L101" s="46" t="n">
        <x:v>0.09732718894011327</x:v>
      </x:c>
      <x:c r="M101" s="14" t="str">
        <x:v>SAMHLJÓÐA</x:v>
      </x:c>
    </x:row>
    <x:row r="102">
      <x:c r="A102" s="14" t="n">
        <x:v>17</x:v>
      </x:c>
      <x:c r="B102" s="14" t="str">
        <x:v>EL</x:v>
      </x:c>
      <x:c r="C102" s="14" t="str">
        <x:v>Grikkland</x:v>
      </x:c>
      <x:c r="D102" s="14" t="str">
        <x:v>A0101</x:v>
      </x:c>
      <x:c r="E102" s="14" t="str">
        <x:v>Matur og óáfengir drykkir</x:v>
      </x:c>
      <x:c r="F102" s="18" t="n">
        <x:v>210</x:v>
      </x:c>
      <x:c r="G102" s="46" t="n">
        <x:v>210.44936405529955</x:v>
      </x:c>
      <x:c r="H102" s="18" t="n">
        <x:v>210</x:v>
      </x:c>
      <x:c r="I102" s="46" t="n">
        <x:v>210.44936405529955</x:v>
      </x:c>
      <x:c r="J102" s="18" t="n">
        <x:v>210</x:v>
      </x:c>
      <x:c r="K102" s="46" t="n">
        <x:v>0.44936405529955437</x:v>
      </x:c>
      <x:c r="L102" s="46" t="n">
        <x:v>0.44936405529955437</x:v>
      </x:c>
      <x:c r="M102" s="14" t="str">
        <x:v>SAMHLJÓÐA</x:v>
      </x:c>
    </x:row>
    <x:row r="103">
      <x:c r="A103" s="14" t="n">
        <x:v>17</x:v>
      </x:c>
      <x:c r="B103" s="14" t="str">
        <x:v>EL</x:v>
      </x:c>
      <x:c r="C103" s="14" t="str">
        <x:v>Grikkland</x:v>
      </x:c>
      <x:c r="D103" s="14" t="str">
        <x:v>A0103</x:v>
      </x:c>
      <x:c r="E103" s="14" t="str">
        <x:v>Föt og skór</x:v>
      </x:c>
      <x:c r="F103" s="18" t="n">
        <x:v>179</x:v>
      </x:c>
      <x:c r="G103" s="46" t="n">
        <x:v>179.22011059907834</x:v>
      </x:c>
      <x:c r="H103" s="18" t="n">
        <x:v>179</x:v>
      </x:c>
      <x:c r="I103" s="46" t="n">
        <x:v>179.22011059907834</x:v>
      </x:c>
      <x:c r="J103" s="18" t="n">
        <x:v>179</x:v>
      </x:c>
      <x:c r="K103" s="46" t="n">
        <x:v>0.22011059907833896</x:v>
      </x:c>
      <x:c r="L103" s="46" t="n">
        <x:v>0.22011059907833896</x:v>
      </x:c>
      <x:c r="M103" s="14" t="str">
        <x:v>SAMHLJÓÐA</x:v>
      </x:c>
    </x:row>
    <x:row r="104">
      <x:c r="A104" s="14" t="n">
        <x:v>17</x:v>
      </x:c>
      <x:c r="B104" s="14" t="str">
        <x:v>EL</x:v>
      </x:c>
      <x:c r="C104" s="14" t="str">
        <x:v>Grikkland</x:v>
      </x:c>
      <x:c r="D104" s="14" t="str">
        <x:v>A010405</x:v>
      </x:c>
      <x:c r="E104" s="14" t="str">
        <x:v>Rafmagn, gas og annað eldsneyti</x:v>
      </x:c>
      <x:c r="F104" s="18" t="n">
        <x:v>176</x:v>
      </x:c>
      <x:c r="G104" s="46" t="n">
        <x:v>175.6396866359447</x:v>
      </x:c>
      <x:c r="H104" s="18" t="n">
        <x:v>176</x:v>
      </x:c>
      <x:c r="I104" s="46" t="n">
        <x:v>175.6396866359447</x:v>
      </x:c>
      <x:c r="J104" s="18" t="n">
        <x:v>176</x:v>
      </x:c>
      <x:c r="K104" s="46" t="n">
        <x:v>-0.3603133640552869</x:v>
      </x:c>
      <x:c r="L104" s="46" t="n">
        <x:v>-0.3603133640552869</x:v>
      </x:c>
      <x:c r="M104" s="14" t="str">
        <x:v>SAMHLJÓÐA</x:v>
      </x:c>
    </x:row>
    <x:row r="105">
      <x:c r="A105" s="14" t="n">
        <x:v>17</x:v>
      </x:c>
      <x:c r="B105" s="14" t="str">
        <x:v>EL</x:v>
      </x:c>
      <x:c r="C105" s="14" t="str">
        <x:v>Grikkland</x:v>
      </x:c>
      <x:c r="D105" s="14" t="str">
        <x:v>A010703</x:v>
      </x:c>
      <x:c r="E105" s="14" t="str">
        <x:v>Flutningaþjónusta</x:v>
      </x:c>
      <x:c r="F105" s="18" t="n">
        <x:v>178</x:v>
      </x:c>
      <x:c r="G105" s="46" t="n">
        <x:v>178.02663594470047</x:v>
      </x:c>
      <x:c r="H105" s="18" t="n">
        <x:v>178</x:v>
      </x:c>
      <x:c r="I105" s="46" t="n">
        <x:v>178.02663594470047</x:v>
      </x:c>
      <x:c r="J105" s="18" t="n">
        <x:v>178</x:v>
      </x:c>
      <x:c r="K105" s="46" t="n">
        <x:v>0.026635944700473146</x:v>
      </x:c>
      <x:c r="L105" s="46" t="n">
        <x:v>0.026635944700473146</x:v>
      </x:c>
      <x:c r="M105" s="14" t="str">
        <x:v>SAMHLJÓÐA</x:v>
      </x:c>
    </x:row>
    <x:row r="106">
      <x:c r="A106" s="14" t="n">
        <x:v>17</x:v>
      </x:c>
      <x:c r="B106" s="14" t="str">
        <x:v>EL</x:v>
      </x:c>
      <x:c r="C106" s="14" t="str">
        <x:v>Grikkland</x:v>
      </x:c>
      <x:c r="D106" s="14" t="str">
        <x:v>A0111</x:v>
      </x:c>
      <x:c r="E106" s="14" t="str">
        <x:v>Veitingastaðir og hótel</x:v>
      </x:c>
      <x:c r="F106" s="18" t="n">
        <x:v>172</x:v>
      </x:c>
      <x:c r="G106" s="46" t="n">
        <x:v>171.86035023041478</x:v>
      </x:c>
      <x:c r="H106" s="18" t="n">
        <x:v>172</x:v>
      </x:c>
      <x:c r="I106" s="46" t="n">
        <x:v>171.86035023041478</x:v>
      </x:c>
      <x:c r="J106" s="18" t="n">
        <x:v>172</x:v>
      </x:c>
      <x:c r="K106" s="46" t="n">
        <x:v>-0.13964976958521902</x:v>
      </x:c>
      <x:c r="L106" s="46" t="n">
        <x:v>-0.13964976958521902</x:v>
      </x:c>
      <x:c r="M106" s="14" t="str">
        <x:v>SAMHLJÓÐA</x:v>
      </x:c>
    </x:row>
    <x:row r="107">
      <x:c r="A107" s="25" t="n">
        <x:v>18</x:v>
      </x:c>
      <x:c r="B107" s="25" t="str">
        <x:v>HU</x:v>
      </x:c>
      <x:c r="C107" s="25" t="str">
        <x:v>Ungverjaland</x:v>
      </x:c>
      <x:c r="D107" s="25" t="str">
        <x:v>A01</x:v>
      </x:c>
      <x:c r="E107" s="25" t="str">
        <x:v>Einstaklingsbundin neysla</x:v>
      </x:c>
      <x:c r="F107" s="54" t="n">
        <x:v>167</x:v>
      </x:c>
      <x:c r="G107" s="55" t="n">
        <x:v>173.66288878416586</x:v>
      </x:c>
      <x:c r="H107" s="54" t="n">
        <x:v>174</x:v>
      </x:c>
      <x:c r="I107" s="55" t="n">
        <x:v>167.22071469086782</x:v>
      </x:c>
      <x:c r="J107" s="54" t="n">
        <x:v>167</x:v>
      </x:c>
      <x:c r="K107" s="55" t="n">
        <x:v>6.662888784165858</x:v>
      </x:c>
      <x:c r="L107" s="55" t="n">
        <x:v>0.22071469086782258</x:v>
      </x:c>
      <x:c r="M107" s="25" t="str">
        <x:v>AFLEIDD GAGNAÚTGÁFA</x:v>
      </x:c>
    </x:row>
    <x:row r="108">
      <x:c r="A108" s="25" t="n">
        <x:v>18</x:v>
      </x:c>
      <x:c r="B108" s="25" t="str">
        <x:v>HU</x:v>
      </x:c>
      <x:c r="C108" s="25" t="str">
        <x:v>Ungverjaland</x:v>
      </x:c>
      <x:c r="D108" s="25" t="str">
        <x:v>A0101</x:v>
      </x:c>
      <x:c r="E108" s="25" t="str">
        <x:v>Matur og óáfengir drykkir</x:v>
      </x:c>
      <x:c r="F108" s="54" t="n">
        <x:v>232</x:v>
      </x:c>
      <x:c r="G108" s="55" t="n">
        <x:v>241.04307257304427</x:v>
      </x:c>
      <x:c r="H108" s="54" t="n">
        <x:v>241</x:v>
      </x:c>
      <x:c r="I108" s="55" t="n">
        <x:v>232.1013726602382</x:v>
      </x:c>
      <x:c r="J108" s="54" t="n">
        <x:v>232</x:v>
      </x:c>
      <x:c r="K108" s="55" t="n">
        <x:v>9.04307257304427</x:v>
      </x:c>
      <x:c r="L108" s="55" t="n">
        <x:v>0.10137266023821212</x:v>
      </x:c>
      <x:c r="M108" s="25" t="str">
        <x:v>AFLEIDD GAGNAÚTGÁFA</x:v>
      </x:c>
    </x:row>
    <x:row r="109">
      <x:c r="A109" s="25" t="n">
        <x:v>18</x:v>
      </x:c>
      <x:c r="B109" s="25" t="str">
        <x:v>HU</x:v>
      </x:c>
      <x:c r="C109" s="25" t="str">
        <x:v>Ungverjaland</x:v>
      </x:c>
      <x:c r="D109" s="25" t="str">
        <x:v>A0103</x:v>
      </x:c>
      <x:c r="E109" s="25" t="str">
        <x:v>Föt og skór</x:v>
      </x:c>
      <x:c r="F109" s="54" t="n">
        <x:v>212</x:v>
      </x:c>
      <x:c r="G109" s="55" t="n">
        <x:v>220.1933553251649</x:v>
      </x:c>
      <x:c r="H109" s="54" t="n">
        <x:v>220</x:v>
      </x:c>
      <x:c r="I109" s="55" t="n">
        <x:v>212.02509359047076</x:v>
      </x:c>
      <x:c r="J109" s="54" t="n">
        <x:v>212</x:v>
      </x:c>
      <x:c r="K109" s="55" t="n">
        <x:v>8.193355325164902</x:v>
      </x:c>
      <x:c r="L109" s="55" t="n">
        <x:v>0.02509359047076032</x:v>
      </x:c>
      <x:c r="M109" s="25" t="str">
        <x:v>AFLEIDD GAGNAÚTGÁFA</x:v>
      </x:c>
    </x:row>
    <x:row r="110">
      <x:c r="A110" s="25" t="n">
        <x:v>18</x:v>
      </x:c>
      <x:c r="B110" s="25" t="str">
        <x:v>HU</x:v>
      </x:c>
      <x:c r="C110" s="25" t="str">
        <x:v>Ungverjaland</x:v>
      </x:c>
      <x:c r="D110" s="25" t="str">
        <x:v>A010405</x:v>
      </x:c>
      <x:c r="E110" s="25" t="str">
        <x:v>Rafmagn, gas og annað eldsneyti</x:v>
      </x:c>
      <x:c r="F110" s="54" t="n">
        <x:v>93</x:v>
      </x:c>
      <x:c r="G110" s="55" t="n">
        <x:v>96.36637606032045</x:v>
      </x:c>
      <x:c r="H110" s="54" t="n">
        <x:v>96</x:v>
      </x:c>
      <x:c r="I110" s="55" t="n">
        <x:v>92.79158252977878</x:v>
      </x:c>
      <x:c r="J110" s="54" t="n">
        <x:v>93</x:v>
      </x:c>
      <x:c r="K110" s="55" t="n">
        <x:v>3.366376060320448</x:v>
      </x:c>
      <x:c r="L110" s="55" t="n">
        <x:v>-0.20841747022122092</x:v>
      </x:c>
      <x:c r="M110" s="25" t="str">
        <x:v>AFLEIDD GAGNAÚTGÁFA</x:v>
      </x:c>
    </x:row>
    <x:row r="111">
      <x:c r="A111" s="25" t="n">
        <x:v>18</x:v>
      </x:c>
      <x:c r="B111" s="25" t="str">
        <x:v>HU</x:v>
      </x:c>
      <x:c r="C111" s="25" t="str">
        <x:v>Ungverjaland</x:v>
      </x:c>
      <x:c r="D111" s="25" t="str">
        <x:v>A010703</x:v>
      </x:c>
      <x:c r="E111" s="25" t="str">
        <x:v>Flutningaþjónusta</x:v>
      </x:c>
      <x:c r="F111" s="54" t="n">
        <x:v>151</x:v>
      </x:c>
      <x:c r="G111" s="55" t="n">
        <x:v>156.6271442035815</x:v>
      </x:c>
      <x:c r="H111" s="54" t="n">
        <x:v>157</x:v>
      </x:c>
      <x:c r="I111" s="55" t="n">
        <x:v>150.81692569483835</x:v>
      </x:c>
      <x:c r="J111" s="54" t="n">
        <x:v>151</x:v>
      </x:c>
      <x:c r="K111" s="55" t="n">
        <x:v>5.6271442035815085</x:v>
      </x:c>
      <x:c r="L111" s="55" t="n">
        <x:v>-0.18307430516165368</x:v>
      </x:c>
      <x:c r="M111" s="25" t="str">
        <x:v>AFLEIDD GAGNAÚTGÁFA</x:v>
      </x:c>
    </x:row>
    <x:row r="112">
      <x:c r="A112" s="25" t="n">
        <x:v>18</x:v>
      </x:c>
      <x:c r="B112" s="25" t="str">
        <x:v>HU</x:v>
      </x:c>
      <x:c r="C112" s="25" t="str">
        <x:v>Ungverjaland</x:v>
      </x:c>
      <x:c r="D112" s="25" t="str">
        <x:v>A0111</x:v>
      </x:c>
      <x:c r="E112" s="25" t="str">
        <x:v>Veitingastaðir og hótel</x:v>
      </x:c>
      <x:c r="F112" s="54" t="n">
        <x:v>176</x:v>
      </x:c>
      <x:c r="G112" s="55" t="n">
        <x:v>182.56215834118754</x:v>
      </x:c>
      <x:c r="H112" s="54" t="n">
        <x:v>183</x:v>
      </x:c>
      <x:c r="I112" s="55" t="n">
        <x:v>175.78985819625638</x:v>
      </x:c>
      <x:c r="J112" s="54" t="n">
        <x:v>176</x:v>
      </x:c>
      <x:c r="K112" s="55" t="n">
        <x:v>6.562158341187541</x:v>
      </x:c>
      <x:c r="L112" s="55" t="n">
        <x:v>-0.21014180374362468</x:v>
      </x:c>
      <x:c r="M112" s="25" t="str">
        <x:v>AFLEIDD GAGNAÚTGÁFA</x:v>
      </x:c>
    </x:row>
    <x:row r="113">
      <x:c r="A113" s="14" t="n">
        <x:v>19</x:v>
      </x:c>
      <x:c r="B113" s="14" t="str">
        <x:v>SK</x:v>
      </x:c>
      <x:c r="C113" s="14" t="str">
        <x:v>Slóvakía</x:v>
      </x:c>
      <x:c r="D113" s="14" t="str">
        <x:v>A01</x:v>
      </x:c>
      <x:c r="E113" s="14" t="str">
        <x:v>Einstaklingsbundin neysla</x:v>
      </x:c>
      <x:c r="F113" s="18" t="n">
        <x:v>172</x:v>
      </x:c>
      <x:c r="G113" s="46" t="n">
        <x:v>172.0873267132042</x:v>
      </x:c>
      <x:c r="H113" s="18" t="n">
        <x:v>172</x:v>
      </x:c>
      <x:c r="I113" s="46" t="n">
        <x:v>172.0873267132042</x:v>
      </x:c>
      <x:c r="J113" s="18" t="n">
        <x:v>172</x:v>
      </x:c>
      <x:c r="K113" s="46" t="n">
        <x:v>0.08732671320419172</x:v>
      </x:c>
      <x:c r="L113" s="46" t="n">
        <x:v>0.08732671320419172</x:v>
      </x:c>
      <x:c r="M113" s="14" t="str">
        <x:v>SAMHLJÓÐA</x:v>
      </x:c>
    </x:row>
    <x:row r="114">
      <x:c r="A114" s="14" t="n">
        <x:v>19</x:v>
      </x:c>
      <x:c r="B114" s="14" t="str">
        <x:v>SK</x:v>
      </x:c>
      <x:c r="C114" s="14" t="str">
        <x:v>Slóvakía</x:v>
      </x:c>
      <x:c r="D114" s="14" t="str">
        <x:v>A0101</x:v>
      </x:c>
      <x:c r="E114" s="14" t="str">
        <x:v>Matur og óáfengir drykkir</x:v>
      </x:c>
      <x:c r="F114" s="18" t="n">
        <x:v>177</x:v>
      </x:c>
      <x:c r="G114" s="46" t="n">
        <x:v>176.96773178645168</x:v>
      </x:c>
      <x:c r="H114" s="18" t="n">
        <x:v>177</x:v>
      </x:c>
      <x:c r="I114" s="46" t="n">
        <x:v>176.96773178645168</x:v>
      </x:c>
      <x:c r="J114" s="18" t="n">
        <x:v>177</x:v>
      </x:c>
      <x:c r="K114" s="46" t="n">
        <x:v>-0.032268213548320546</x:v>
      </x:c>
      <x:c r="L114" s="46" t="n">
        <x:v>-0.032268213548320546</x:v>
      </x:c>
      <x:c r="M114" s="14" t="str">
        <x:v>SAMHLJÓÐA</x:v>
      </x:c>
    </x:row>
    <x:row r="115">
      <x:c r="A115" s="14" t="n">
        <x:v>19</x:v>
      </x:c>
      <x:c r="B115" s="14" t="str">
        <x:v>SK</x:v>
      </x:c>
      <x:c r="C115" s="14" t="str">
        <x:v>Slóvakía</x:v>
      </x:c>
      <x:c r="D115" s="14" t="str">
        <x:v>A0103</x:v>
      </x:c>
      <x:c r="E115" s="14" t="str">
        <x:v>Föt og skór</x:v>
      </x:c>
      <x:c r="F115" s="18" t="n">
        <x:v>206</x:v>
      </x:c>
      <x:c r="G115" s="46" t="n">
        <x:v>206.2501622259365</x:v>
      </x:c>
      <x:c r="H115" s="18" t="n">
        <x:v>206</x:v>
      </x:c>
      <x:c r="I115" s="46" t="n">
        <x:v>206.2501622259365</x:v>
      </x:c>
      <x:c r="J115" s="18" t="n">
        <x:v>206</x:v>
      </x:c>
      <x:c r="K115" s="46" t="n">
        <x:v>0.2501622259364922</x:v>
      </x:c>
      <x:c r="L115" s="46" t="n">
        <x:v>0.2501622259364922</x:v>
      </x:c>
      <x:c r="M115" s="14" t="str">
        <x:v>SAMHLJÓÐA</x:v>
      </x:c>
    </x:row>
    <x:row r="116">
      <x:c r="A116" s="14" t="n">
        <x:v>19</x:v>
      </x:c>
      <x:c r="B116" s="14" t="str">
        <x:v>SK</x:v>
      </x:c>
      <x:c r="C116" s="14" t="str">
        <x:v>Slóvakía</x:v>
      </x:c>
      <x:c r="D116" s="14" t="str">
        <x:v>A010405</x:v>
      </x:c>
      <x:c r="E116" s="14" t="str">
        <x:v>Rafmagn, gas og annað eldsneyti</x:v>
      </x:c>
      <x:c r="F116" s="18" t="n">
        <x:v>147</x:v>
      </x:c>
      <x:c r="G116" s="46" t="n">
        <x:v>147.47310982204306</x:v>
      </x:c>
      <x:c r="H116" s="18" t="n">
        <x:v>147</x:v>
      </x:c>
      <x:c r="I116" s="46" t="n">
        <x:v>147.47310982204306</x:v>
      </x:c>
      <x:c r="J116" s="18" t="n">
        <x:v>147</x:v>
      </x:c>
      <x:c r="K116" s="46" t="n">
        <x:v>0.47310982204305674</x:v>
      </x:c>
      <x:c r="L116" s="46" t="n">
        <x:v>0.47310982204305674</x:v>
      </x:c>
      <x:c r="M116" s="14" t="str">
        <x:v>SAMHLJÓÐA</x:v>
      </x:c>
    </x:row>
    <x:row r="117">
      <x:c r="A117" s="14" t="n">
        <x:v>19</x:v>
      </x:c>
      <x:c r="B117" s="14" t="str">
        <x:v>SK</x:v>
      </x:c>
      <x:c r="C117" s="14" t="str">
        <x:v>Slóvakía</x:v>
      </x:c>
      <x:c r="D117" s="14" t="str">
        <x:v>A010703</x:v>
      </x:c>
      <x:c r="E117" s="14" t="str">
        <x:v>Flutningaþjónusta</x:v>
      </x:c>
      <x:c r="F117" s="18" t="n">
        <x:v>193</x:v>
      </x:c>
      <x:c r="G117" s="46" t="n">
        <x:v>193.0942876806607</x:v>
      </x:c>
      <x:c r="H117" s="18" t="n">
        <x:v>193</x:v>
      </x:c>
      <x:c r="I117" s="46" t="n">
        <x:v>193.0942876806607</x:v>
      </x:c>
      <x:c r="J117" s="18" t="n">
        <x:v>193</x:v>
      </x:c>
      <x:c r="K117" s="46" t="n">
        <x:v>0.09428768066069892</x:v>
      </x:c>
      <x:c r="L117" s="46" t="n">
        <x:v>0.09428768066069892</x:v>
      </x:c>
      <x:c r="M117" s="14" t="str">
        <x:v>SAMHLJÓÐA</x:v>
      </x:c>
    </x:row>
    <x:row r="118">
      <x:c r="A118" s="14" t="n">
        <x:v>19</x:v>
      </x:c>
      <x:c r="B118" s="14" t="str">
        <x:v>SK</x:v>
      </x:c>
      <x:c r="C118" s="14" t="str">
        <x:v>Slóvakía</x:v>
      </x:c>
      <x:c r="D118" s="14" t="str">
        <x:v>A0111</x:v>
      </x:c>
      <x:c r="E118" s="14" t="str">
        <x:v>Veitingastaðir og hótel</x:v>
      </x:c>
      <x:c r="F118" s="18" t="n">
        <x:v>194</x:v>
      </x:c>
      <x:c r="G118" s="46" t="n">
        <x:v>193.7308622554321</x:v>
      </x:c>
      <x:c r="H118" s="18" t="n">
        <x:v>194</x:v>
      </x:c>
      <x:c r="I118" s="46" t="n">
        <x:v>193.7308622554321</x:v>
      </x:c>
      <x:c r="J118" s="18" t="n">
        <x:v>194</x:v>
      </x:c>
      <x:c r="K118" s="46" t="n">
        <x:v>-0.2691377445678995</x:v>
      </x:c>
      <x:c r="L118" s="46" t="n">
        <x:v>-0.2691377445678995</x:v>
      </x:c>
      <x:c r="M118" s="14" t="str">
        <x:v>SAMHLJÓÐA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3" hidden="0" customWidth="1"/>
    <x:col min="3" max="3" width="16" hidden="0" customWidth="1"/>
    <x:col min="4" max="4" width="14" hidden="0" customWidth="1"/>
    <x:col min="5" max="5" width="22" hidden="0" customWidth="1"/>
    <x:col min="6" max="6" width="10" hidden="0" customWidth="1"/>
    <x:col min="7" max="7" width="14" hidden="0" customWidth="1"/>
    <x:col min="8" max="8" width="44" hidden="0" customWidth="1"/>
  </x:cols>
  <x:sheetData>
    <x:row r="1" ht="30" customHeight="1">
      <x:c r="A1" s="3" t="str">
        <x:v>Gengi og afstemming</x:v>
      </x:c>
      <x:c r="B1" s="3" t="str">
        <x:v>Gengi og afstemming</x:v>
      </x:c>
      <x:c r="C1" s="3" t="str">
        <x:v>Gengi og afstemming</x:v>
      </x:c>
      <x:c r="D1" s="3" t="str">
        <x:v>Gengi og afstemming</x:v>
      </x:c>
      <x:c r="E1" s="3" t="str">
        <x:v>Gengi og afstemming</x:v>
      </x:c>
      <x:c r="F1" s="3" t="str">
        <x:v>Gengi og afstemming</x:v>
      </x:c>
      <x:c r="G1" s="3" t="str">
        <x:v>Gengi og afstemming</x:v>
      </x:c>
      <x:c r="H1" s="3" t="str">
        <x:v>Gengi og afstemming</x:v>
      </x:c>
    </x:row>
    <x:row r="2" ht="32" customHeight="1">
      <x:c r="A2" s="7" t="str">
        <x:v>Dagleg EUR-miðgengi SÍ ásamt röðum sem notaðar eru til að greina mannfjöldaáhrif í endurgerðum framreikningi</x:v>
      </x:c>
      <x:c r="B2" s="7" t="str">
        <x:v>Dagleg EUR-miðgengi SÍ ásamt röðum sem notaðar eru til að greina mannfjöldaáhrif í endurgerðum framreikningi</x:v>
      </x:c>
      <x:c r="C2" s="7" t="str">
        <x:v>Dagleg EUR-miðgengi SÍ ásamt röðum sem notaðar eru til að greina mannfjöldaáhrif í endurgerðum framreikningi</x:v>
      </x:c>
      <x:c r="D2" s="7" t="str">
        <x:v>Dagleg EUR-miðgengi SÍ ásamt röðum sem notaðar eru til að greina mannfjöldaáhrif í endurgerðum framreikningi</x:v>
      </x:c>
      <x:c r="E2" s="7" t="str">
        <x:v>Dagleg EUR-miðgengi SÍ ásamt röðum sem notaðar eru til að greina mannfjöldaáhrif í endurgerðum framreikningi</x:v>
      </x:c>
      <x:c r="F2" s="7" t="str">
        <x:v>Dagleg EUR-miðgengi SÍ ásamt röðum sem notaðar eru til að greina mannfjöldaáhrif í endurgerðum framreikningi</x:v>
      </x:c>
      <x:c r="G2" s="7" t="str">
        <x:v>Dagleg EUR-miðgengi SÍ ásamt röðum sem notaðar eru til að greina mannfjöldaáhrif í endurgerðum framreikningi</x:v>
      </x:c>
      <x:c r="H2" s="7" t="str">
        <x:v>Dagleg EUR-miðgengi SÍ ásamt röðum sem notaðar eru til að greina mannfjöldaáhrif í endurgerðum framreikningi</x:v>
      </x:c>
    </x:row>
    <x:row r="4">
      <x:c r="A4" s="12" t="str">
        <x:v>tegund</x:v>
      </x:c>
      <x:c r="B4" s="12" t="str">
        <x:v>ár/dagur</x:v>
      </x:c>
      <x:c r="C4" s="12" t="str">
        <x:v>gildi</x:v>
      </x:c>
      <x:c r="D4" s="12" t="str">
        <x:v>eining</x:v>
      </x:c>
      <x:c r="E4" s="12" t="str">
        <x:v>röð</x:v>
      </x:c>
      <x:c r="F4" s="12" t="str">
        <x:v>status</x:v>
      </x:c>
      <x:c r="G4" s="12" t="str">
        <x:v>land</x:v>
      </x:c>
      <x:c r="H4" s="12" t="str">
        <x:v>athugasemd</x:v>
      </x:c>
    </x:row>
    <x:row r="5">
      <x:c r="A5" s="14" t="str">
        <x:v>gengi</x:v>
      </x:c>
      <x:c r="B5" s="14" t="str">
        <x:v>1/2/2024 12:00:00 AM</x:v>
      </x:c>
      <x:c r="C5" s="21" t="n">
        <x:v>150.7</x:v>
      </x:c>
      <x:c r="D5" s="14" t="str">
        <x:v>ISK/EUR</x:v>
      </x:c>
      <x:c r="E5" s="14" t="str">
        <x:v>SÍ 4064</x:v>
      </x:c>
      <x:c r="F5" s="14" t="str"/>
      <x:c r="G5" s="14" t="str">
        <x:v>Ísland</x:v>
      </x:c>
      <x:c r="H5" s="14" t="str">
        <x:v>Evra, skráð miðgengi.</x:v>
      </x:c>
    </x:row>
    <x:row r="6">
      <x:c r="A6" s="14" t="str">
        <x:v>gengi</x:v>
      </x:c>
      <x:c r="B6" s="14" t="str">
        <x:v>1/3/2024 12:00:00 AM</x:v>
      </x:c>
      <x:c r="C6" s="21" t="n">
        <x:v>150.7</x:v>
      </x:c>
      <x:c r="D6" s="14" t="str">
        <x:v>ISK/EUR</x:v>
      </x:c>
      <x:c r="E6" s="14" t="str">
        <x:v>SÍ 4064</x:v>
      </x:c>
      <x:c r="F6" s="14" t="str"/>
      <x:c r="G6" s="14" t="str">
        <x:v>Ísland</x:v>
      </x:c>
      <x:c r="H6" s="14" t="str">
        <x:v>Evra, skráð miðgengi.</x:v>
      </x:c>
    </x:row>
    <x:row r="7">
      <x:c r="A7" s="14" t="str">
        <x:v>gengi</x:v>
      </x:c>
      <x:c r="B7" s="14" t="str">
        <x:v>1/4/2024 12:00:00 AM</x:v>
      </x:c>
      <x:c r="C7" s="21" t="n">
        <x:v>150.5</x:v>
      </x:c>
      <x:c r="D7" s="14" t="str">
        <x:v>ISK/EUR</x:v>
      </x:c>
      <x:c r="E7" s="14" t="str">
        <x:v>SÍ 4064</x:v>
      </x:c>
      <x:c r="F7" s="14" t="str"/>
      <x:c r="G7" s="14" t="str">
        <x:v>Ísland</x:v>
      </x:c>
      <x:c r="H7" s="14" t="str">
        <x:v>Evra, skráð miðgengi.</x:v>
      </x:c>
    </x:row>
    <x:row r="8">
      <x:c r="A8" s="14" t="str">
        <x:v>gengi</x:v>
      </x:c>
      <x:c r="B8" s="14" t="str">
        <x:v>1/5/2024 12:00:00 AM</x:v>
      </x:c>
      <x:c r="C8" s="21" t="n">
        <x:v>150.5</x:v>
      </x:c>
      <x:c r="D8" s="14" t="str">
        <x:v>ISK/EUR</x:v>
      </x:c>
      <x:c r="E8" s="14" t="str">
        <x:v>SÍ 4064</x:v>
      </x:c>
      <x:c r="F8" s="14" t="str"/>
      <x:c r="G8" s="14" t="str">
        <x:v>Ísland</x:v>
      </x:c>
      <x:c r="H8" s="14" t="str">
        <x:v>Evra, skráð miðgengi.</x:v>
      </x:c>
    </x:row>
    <x:row r="9">
      <x:c r="A9" s="14" t="str">
        <x:v>gengi</x:v>
      </x:c>
      <x:c r="B9" s="14" t="str">
        <x:v>1/8/2024 12:00:00 AM</x:v>
      </x:c>
      <x:c r="C9" s="21" t="n">
        <x:v>150.7</x:v>
      </x:c>
      <x:c r="D9" s="14" t="str">
        <x:v>ISK/EUR</x:v>
      </x:c>
      <x:c r="E9" s="14" t="str">
        <x:v>SÍ 4064</x:v>
      </x:c>
      <x:c r="F9" s="14" t="str"/>
      <x:c r="G9" s="14" t="str">
        <x:v>Ísland</x:v>
      </x:c>
      <x:c r="H9" s="14" t="str">
        <x:v>Evra, skráð miðgengi.</x:v>
      </x:c>
    </x:row>
    <x:row r="10">
      <x:c r="A10" s="14" t="str">
        <x:v>gengi</x:v>
      </x:c>
      <x:c r="B10" s="14" t="str">
        <x:v>1/9/2024 12:00:00 AM</x:v>
      </x:c>
      <x:c r="C10" s="21" t="n">
        <x:v>150.5</x:v>
      </x:c>
      <x:c r="D10" s="14" t="str">
        <x:v>ISK/EUR</x:v>
      </x:c>
      <x:c r="E10" s="14" t="str">
        <x:v>SÍ 4064</x:v>
      </x:c>
      <x:c r="F10" s="14" t="str"/>
      <x:c r="G10" s="14" t="str">
        <x:v>Ísland</x:v>
      </x:c>
      <x:c r="H10" s="14" t="str">
        <x:v>Evra, skráð miðgengi.</x:v>
      </x:c>
    </x:row>
    <x:row r="11">
      <x:c r="A11" s="14" t="str">
        <x:v>gengi</x:v>
      </x:c>
      <x:c r="B11" s="14" t="str">
        <x:v>1/10/2024 12:00:00 AM</x:v>
      </x:c>
      <x:c r="C11" s="21" t="n">
        <x:v>150.1</x:v>
      </x:c>
      <x:c r="D11" s="14" t="str">
        <x:v>ISK/EUR</x:v>
      </x:c>
      <x:c r="E11" s="14" t="str">
        <x:v>SÍ 4064</x:v>
      </x:c>
      <x:c r="F11" s="14" t="str"/>
      <x:c r="G11" s="14" t="str">
        <x:v>Ísland</x:v>
      </x:c>
      <x:c r="H11" s="14" t="str">
        <x:v>Evra, skráð miðgengi.</x:v>
      </x:c>
    </x:row>
    <x:row r="12">
      <x:c r="A12" s="14" t="str">
        <x:v>gengi</x:v>
      </x:c>
      <x:c r="B12" s="14" t="str">
        <x:v>1/11/2024 12:00:00 AM</x:v>
      </x:c>
      <x:c r="C12" s="21" t="n">
        <x:v>150.1</x:v>
      </x:c>
      <x:c r="D12" s="14" t="str">
        <x:v>ISK/EUR</x:v>
      </x:c>
      <x:c r="E12" s="14" t="str">
        <x:v>SÍ 4064</x:v>
      </x:c>
      <x:c r="F12" s="14" t="str"/>
      <x:c r="G12" s="14" t="str">
        <x:v>Ísland</x:v>
      </x:c>
      <x:c r="H12" s="14" t="str">
        <x:v>Evra, skráð miðgengi.</x:v>
      </x:c>
    </x:row>
    <x:row r="13">
      <x:c r="A13" s="14" t="str">
        <x:v>gengi</x:v>
      </x:c>
      <x:c r="B13" s="14" t="str">
        <x:v>1/12/2024 12:00:00 AM</x:v>
      </x:c>
      <x:c r="C13" s="21" t="n">
        <x:v>150.1</x:v>
      </x:c>
      <x:c r="D13" s="14" t="str">
        <x:v>ISK/EUR</x:v>
      </x:c>
      <x:c r="E13" s="14" t="str">
        <x:v>SÍ 4064</x:v>
      </x:c>
      <x:c r="F13" s="14" t="str"/>
      <x:c r="G13" s="14" t="str">
        <x:v>Ísland</x:v>
      </x:c>
      <x:c r="H13" s="14" t="str">
        <x:v>Evra, skráð miðgengi.</x:v>
      </x:c>
    </x:row>
    <x:row r="14">
      <x:c r="A14" s="14" t="str">
        <x:v>gengi</x:v>
      </x:c>
      <x:c r="B14" s="14" t="str">
        <x:v>1/15/2024 12:00:00 AM</x:v>
      </x:c>
      <x:c r="C14" s="21" t="n">
        <x:v>149.7</x:v>
      </x:c>
      <x:c r="D14" s="14" t="str">
        <x:v>ISK/EUR</x:v>
      </x:c>
      <x:c r="E14" s="14" t="str">
        <x:v>SÍ 4064</x:v>
      </x:c>
      <x:c r="F14" s="14" t="str"/>
      <x:c r="G14" s="14" t="str">
        <x:v>Ísland</x:v>
      </x:c>
      <x:c r="H14" s="14" t="str">
        <x:v>Evra, skráð miðgengi.</x:v>
      </x:c>
    </x:row>
    <x:row r="15">
      <x:c r="A15" s="14" t="str">
        <x:v>gengi</x:v>
      </x:c>
      <x:c r="B15" s="14" t="str">
        <x:v>1/16/2024 12:00:00 AM</x:v>
      </x:c>
      <x:c r="C15" s="21" t="n">
        <x:v>149.3</x:v>
      </x:c>
      <x:c r="D15" s="14" t="str">
        <x:v>ISK/EUR</x:v>
      </x:c>
      <x:c r="E15" s="14" t="str">
        <x:v>SÍ 4064</x:v>
      </x:c>
      <x:c r="F15" s="14" t="str"/>
      <x:c r="G15" s="14" t="str">
        <x:v>Ísland</x:v>
      </x:c>
      <x:c r="H15" s="14" t="str">
        <x:v>Evra, skráð miðgengi.</x:v>
      </x:c>
    </x:row>
    <x:row r="16">
      <x:c r="A16" s="14" t="str">
        <x:v>gengi</x:v>
      </x:c>
      <x:c r="B16" s="14" t="str">
        <x:v>1/17/2024 12:00:00 AM</x:v>
      </x:c>
      <x:c r="C16" s="21" t="n">
        <x:v>149.5</x:v>
      </x:c>
      <x:c r="D16" s="14" t="str">
        <x:v>ISK/EUR</x:v>
      </x:c>
      <x:c r="E16" s="14" t="str">
        <x:v>SÍ 4064</x:v>
      </x:c>
      <x:c r="F16" s="14" t="str"/>
      <x:c r="G16" s="14" t="str">
        <x:v>Ísland</x:v>
      </x:c>
      <x:c r="H16" s="14" t="str">
        <x:v>Evra, skráð miðgengi.</x:v>
      </x:c>
    </x:row>
    <x:row r="17">
      <x:c r="A17" s="14" t="str">
        <x:v>gengi</x:v>
      </x:c>
      <x:c r="B17" s="14" t="str">
        <x:v>1/18/2024 12:00:00 AM</x:v>
      </x:c>
      <x:c r="C17" s="21" t="n">
        <x:v>149.5</x:v>
      </x:c>
      <x:c r="D17" s="14" t="str">
        <x:v>ISK/EUR</x:v>
      </x:c>
      <x:c r="E17" s="14" t="str">
        <x:v>SÍ 4064</x:v>
      </x:c>
      <x:c r="F17" s="14" t="str"/>
      <x:c r="G17" s="14" t="str">
        <x:v>Ísland</x:v>
      </x:c>
      <x:c r="H17" s="14" t="str">
        <x:v>Evra, skráð miðgengi.</x:v>
      </x:c>
    </x:row>
    <x:row r="18">
      <x:c r="A18" s="14" t="str">
        <x:v>gengi</x:v>
      </x:c>
      <x:c r="B18" s="14" t="str">
        <x:v>1/19/2024 12:00:00 AM</x:v>
      </x:c>
      <x:c r="C18" s="21" t="n">
        <x:v>148.9</x:v>
      </x:c>
      <x:c r="D18" s="14" t="str">
        <x:v>ISK/EUR</x:v>
      </x:c>
      <x:c r="E18" s="14" t="str">
        <x:v>SÍ 4064</x:v>
      </x:c>
      <x:c r="F18" s="14" t="str"/>
      <x:c r="G18" s="14" t="str">
        <x:v>Ísland</x:v>
      </x:c>
      <x:c r="H18" s="14" t="str">
        <x:v>Evra, skráð miðgengi.</x:v>
      </x:c>
    </x:row>
    <x:row r="19">
      <x:c r="A19" s="14" t="str">
        <x:v>gengi</x:v>
      </x:c>
      <x:c r="B19" s="14" t="str">
        <x:v>1/22/2024 12:00:00 AM</x:v>
      </x:c>
      <x:c r="C19" s="21" t="n">
        <x:v>148.7</x:v>
      </x:c>
      <x:c r="D19" s="14" t="str">
        <x:v>ISK/EUR</x:v>
      </x:c>
      <x:c r="E19" s="14" t="str">
        <x:v>SÍ 4064</x:v>
      </x:c>
      <x:c r="F19" s="14" t="str"/>
      <x:c r="G19" s="14" t="str">
        <x:v>Ísland</x:v>
      </x:c>
      <x:c r="H19" s="14" t="str">
        <x:v>Evra, skráð miðgengi.</x:v>
      </x:c>
    </x:row>
    <x:row r="20">
      <x:c r="A20" s="14" t="str">
        <x:v>gengi</x:v>
      </x:c>
      <x:c r="B20" s="14" t="str">
        <x:v>1/23/2024 12:00:00 AM</x:v>
      </x:c>
      <x:c r="C20" s="21" t="n">
        <x:v>148.7</x:v>
      </x:c>
      <x:c r="D20" s="14" t="str">
        <x:v>ISK/EUR</x:v>
      </x:c>
      <x:c r="E20" s="14" t="str">
        <x:v>SÍ 4064</x:v>
      </x:c>
      <x:c r="F20" s="14" t="str"/>
      <x:c r="G20" s="14" t="str">
        <x:v>Ísland</x:v>
      </x:c>
      <x:c r="H20" s="14" t="str">
        <x:v>Evra, skráð miðgengi.</x:v>
      </x:c>
    </x:row>
    <x:row r="21">
      <x:c r="A21" s="14" t="str">
        <x:v>gengi</x:v>
      </x:c>
      <x:c r="B21" s="14" t="str">
        <x:v>1/24/2024 12:00:00 AM</x:v>
      </x:c>
      <x:c r="C21" s="21" t="n">
        <x:v>147.9</x:v>
      </x:c>
      <x:c r="D21" s="14" t="str">
        <x:v>ISK/EUR</x:v>
      </x:c>
      <x:c r="E21" s="14" t="str">
        <x:v>SÍ 4064</x:v>
      </x:c>
      <x:c r="F21" s="14" t="str"/>
      <x:c r="G21" s="14" t="str">
        <x:v>Ísland</x:v>
      </x:c>
      <x:c r="H21" s="14" t="str">
        <x:v>Evra, skráð miðgengi.</x:v>
      </x:c>
    </x:row>
    <x:row r="22">
      <x:c r="A22" s="14" t="str">
        <x:v>gengi</x:v>
      </x:c>
      <x:c r="B22" s="14" t="str">
        <x:v>1/25/2024 12:00:00 AM</x:v>
      </x:c>
      <x:c r="C22" s="21" t="n">
        <x:v>148.1</x:v>
      </x:c>
      <x:c r="D22" s="14" t="str">
        <x:v>ISK/EUR</x:v>
      </x:c>
      <x:c r="E22" s="14" t="str">
        <x:v>SÍ 4064</x:v>
      </x:c>
      <x:c r="F22" s="14" t="str"/>
      <x:c r="G22" s="14" t="str">
        <x:v>Ísland</x:v>
      </x:c>
      <x:c r="H22" s="14" t="str">
        <x:v>Evra, skráð miðgengi.</x:v>
      </x:c>
    </x:row>
    <x:row r="23">
      <x:c r="A23" s="14" t="str">
        <x:v>gengi</x:v>
      </x:c>
      <x:c r="B23" s="14" t="str">
        <x:v>1/26/2024 12:00:00 AM</x:v>
      </x:c>
      <x:c r="C23" s="21" t="n">
        <x:v>148.5</x:v>
      </x:c>
      <x:c r="D23" s="14" t="str">
        <x:v>ISK/EUR</x:v>
      </x:c>
      <x:c r="E23" s="14" t="str">
        <x:v>SÍ 4064</x:v>
      </x:c>
      <x:c r="F23" s="14" t="str"/>
      <x:c r="G23" s="14" t="str">
        <x:v>Ísland</x:v>
      </x:c>
      <x:c r="H23" s="14" t="str">
        <x:v>Evra, skráð miðgengi.</x:v>
      </x:c>
    </x:row>
    <x:row r="24">
      <x:c r="A24" s="14" t="str">
        <x:v>gengi</x:v>
      </x:c>
      <x:c r="B24" s="14" t="str">
        <x:v>1/29/2024 12:00:00 AM</x:v>
      </x:c>
      <x:c r="C24" s="21" t="n">
        <x:v>148.5</x:v>
      </x:c>
      <x:c r="D24" s="14" t="str">
        <x:v>ISK/EUR</x:v>
      </x:c>
      <x:c r="E24" s="14" t="str">
        <x:v>SÍ 4064</x:v>
      </x:c>
      <x:c r="F24" s="14" t="str"/>
      <x:c r="G24" s="14" t="str">
        <x:v>Ísland</x:v>
      </x:c>
      <x:c r="H24" s="14" t="str">
        <x:v>Evra, skráð miðgengi.</x:v>
      </x:c>
    </x:row>
    <x:row r="25">
      <x:c r="A25" s="14" t="str">
        <x:v>gengi</x:v>
      </x:c>
      <x:c r="B25" s="14" t="str">
        <x:v>1/30/2024 12:00:00 AM</x:v>
      </x:c>
      <x:c r="C25" s="21" t="n">
        <x:v>148.3</x:v>
      </x:c>
      <x:c r="D25" s="14" t="str">
        <x:v>ISK/EUR</x:v>
      </x:c>
      <x:c r="E25" s="14" t="str">
        <x:v>SÍ 4064</x:v>
      </x:c>
      <x:c r="F25" s="14" t="str"/>
      <x:c r="G25" s="14" t="str">
        <x:v>Ísland</x:v>
      </x:c>
      <x:c r="H25" s="14" t="str">
        <x:v>Evra, skráð miðgengi.</x:v>
      </x:c>
    </x:row>
    <x:row r="26">
      <x:c r="A26" s="14" t="str">
        <x:v>gengi</x:v>
      </x:c>
      <x:c r="B26" s="14" t="str">
        <x:v>1/31/2024 12:00:00 AM</x:v>
      </x:c>
      <x:c r="C26" s="21" t="n">
        <x:v>148.3</x:v>
      </x:c>
      <x:c r="D26" s="14" t="str">
        <x:v>ISK/EUR</x:v>
      </x:c>
      <x:c r="E26" s="14" t="str">
        <x:v>SÍ 4064</x:v>
      </x:c>
      <x:c r="F26" s="14" t="str"/>
      <x:c r="G26" s="14" t="str">
        <x:v>Ísland</x:v>
      </x:c>
      <x:c r="H26" s="14" t="str">
        <x:v>Evra, skráð miðgengi.</x:v>
      </x:c>
    </x:row>
    <x:row r="27">
      <x:c r="A27" s="14" t="str">
        <x:v>gengi</x:v>
      </x:c>
      <x:c r="B27" s="14" t="str">
        <x:v>2/1/2024 12:00:00 AM</x:v>
      </x:c>
      <x:c r="C27" s="21" t="n">
        <x:v>148.3</x:v>
      </x:c>
      <x:c r="D27" s="14" t="str">
        <x:v>ISK/EUR</x:v>
      </x:c>
      <x:c r="E27" s="14" t="str">
        <x:v>SÍ 4064</x:v>
      </x:c>
      <x:c r="F27" s="14" t="str"/>
      <x:c r="G27" s="14" t="str">
        <x:v>Ísland</x:v>
      </x:c>
      <x:c r="H27" s="14" t="str">
        <x:v>Evra, skráð miðgengi.</x:v>
      </x:c>
    </x:row>
    <x:row r="28">
      <x:c r="A28" s="14" t="str">
        <x:v>gengi</x:v>
      </x:c>
      <x:c r="B28" s="14" t="str">
        <x:v>2/2/2024 12:00:00 AM</x:v>
      </x:c>
      <x:c r="C28" s="21" t="n">
        <x:v>148.3</x:v>
      </x:c>
      <x:c r="D28" s="14" t="str">
        <x:v>ISK/EUR</x:v>
      </x:c>
      <x:c r="E28" s="14" t="str">
        <x:v>SÍ 4064</x:v>
      </x:c>
      <x:c r="F28" s="14" t="str"/>
      <x:c r="G28" s="14" t="str">
        <x:v>Ísland</x:v>
      </x:c>
      <x:c r="H28" s="14" t="str">
        <x:v>Evra, skráð miðgengi.</x:v>
      </x:c>
    </x:row>
    <x:row r="29">
      <x:c r="A29" s="14" t="str">
        <x:v>gengi</x:v>
      </x:c>
      <x:c r="B29" s="14" t="str">
        <x:v>2/5/2024 12:00:00 AM</x:v>
      </x:c>
      <x:c r="C29" s="21" t="n">
        <x:v>148.1</x:v>
      </x:c>
      <x:c r="D29" s="14" t="str">
        <x:v>ISK/EUR</x:v>
      </x:c>
      <x:c r="E29" s="14" t="str">
        <x:v>SÍ 4064</x:v>
      </x:c>
      <x:c r="F29" s="14" t="str"/>
      <x:c r="G29" s="14" t="str">
        <x:v>Ísland</x:v>
      </x:c>
      <x:c r="H29" s="14" t="str">
        <x:v>Evra, skráð miðgengi.</x:v>
      </x:c>
    </x:row>
    <x:row r="30">
      <x:c r="A30" s="14" t="str">
        <x:v>gengi</x:v>
      </x:c>
      <x:c r="B30" s="14" t="str">
        <x:v>2/6/2024 12:00:00 AM</x:v>
      </x:c>
      <x:c r="C30" s="21" t="n">
        <x:v>148.1</x:v>
      </x:c>
      <x:c r="D30" s="14" t="str">
        <x:v>ISK/EUR</x:v>
      </x:c>
      <x:c r="E30" s="14" t="str">
        <x:v>SÍ 4064</x:v>
      </x:c>
      <x:c r="F30" s="14" t="str"/>
      <x:c r="G30" s="14" t="str">
        <x:v>Ísland</x:v>
      </x:c>
      <x:c r="H30" s="14" t="str">
        <x:v>Evra, skráð miðgengi.</x:v>
      </x:c>
    </x:row>
    <x:row r="31">
      <x:c r="A31" s="14" t="str">
        <x:v>gengi</x:v>
      </x:c>
      <x:c r="B31" s="14" t="str">
        <x:v>2/7/2024 12:00:00 AM</x:v>
      </x:c>
      <x:c r="C31" s="21" t="n">
        <x:v>148.3</x:v>
      </x:c>
      <x:c r="D31" s="14" t="str">
        <x:v>ISK/EUR</x:v>
      </x:c>
      <x:c r="E31" s="14" t="str">
        <x:v>SÍ 4064</x:v>
      </x:c>
      <x:c r="F31" s="14" t="str"/>
      <x:c r="G31" s="14" t="str">
        <x:v>Ísland</x:v>
      </x:c>
      <x:c r="H31" s="14" t="str">
        <x:v>Evra, skráð miðgengi.</x:v>
      </x:c>
    </x:row>
    <x:row r="32">
      <x:c r="A32" s="14" t="str">
        <x:v>gengi</x:v>
      </x:c>
      <x:c r="B32" s="14" t="str">
        <x:v>2/8/2024 12:00:00 AM</x:v>
      </x:c>
      <x:c r="C32" s="21" t="n">
        <x:v>149.5</x:v>
      </x:c>
      <x:c r="D32" s="14" t="str">
        <x:v>ISK/EUR</x:v>
      </x:c>
      <x:c r="E32" s="14" t="str">
        <x:v>SÍ 4064</x:v>
      </x:c>
      <x:c r="F32" s="14" t="str"/>
      <x:c r="G32" s="14" t="str">
        <x:v>Ísland</x:v>
      </x:c>
      <x:c r="H32" s="14" t="str">
        <x:v>Evra, skráð miðgengi.</x:v>
      </x:c>
    </x:row>
    <x:row r="33">
      <x:c r="A33" s="14" t="str">
        <x:v>gengi</x:v>
      </x:c>
      <x:c r="B33" s="14" t="str">
        <x:v>2/9/2024 12:00:00 AM</x:v>
      </x:c>
      <x:c r="C33" s="21" t="n">
        <x:v>148.1</x:v>
      </x:c>
      <x:c r="D33" s="14" t="str">
        <x:v>ISK/EUR</x:v>
      </x:c>
      <x:c r="E33" s="14" t="str">
        <x:v>SÍ 4064</x:v>
      </x:c>
      <x:c r="F33" s="14" t="str"/>
      <x:c r="G33" s="14" t="str">
        <x:v>Ísland</x:v>
      </x:c>
      <x:c r="H33" s="14" t="str">
        <x:v>Evra, skráð miðgengi.</x:v>
      </x:c>
    </x:row>
    <x:row r="34">
      <x:c r="A34" s="14" t="str">
        <x:v>gengi</x:v>
      </x:c>
      <x:c r="B34" s="14" t="str">
        <x:v>2/12/2024 12:00:00 AM</x:v>
      </x:c>
      <x:c r="C34" s="21" t="n">
        <x:v>148.3</x:v>
      </x:c>
      <x:c r="D34" s="14" t="str">
        <x:v>ISK/EUR</x:v>
      </x:c>
      <x:c r="E34" s="14" t="str">
        <x:v>SÍ 4064</x:v>
      </x:c>
      <x:c r="F34" s="14" t="str"/>
      <x:c r="G34" s="14" t="str">
        <x:v>Ísland</x:v>
      </x:c>
      <x:c r="H34" s="14" t="str">
        <x:v>Evra, skráð miðgengi.</x:v>
      </x:c>
    </x:row>
    <x:row r="35">
      <x:c r="A35" s="14" t="str">
        <x:v>gengi</x:v>
      </x:c>
      <x:c r="B35" s="14" t="str">
        <x:v>2/13/2024 12:00:00 AM</x:v>
      </x:c>
      <x:c r="C35" s="21" t="n">
        <x:v>148.7</x:v>
      </x:c>
      <x:c r="D35" s="14" t="str">
        <x:v>ISK/EUR</x:v>
      </x:c>
      <x:c r="E35" s="14" t="str">
        <x:v>SÍ 4064</x:v>
      </x:c>
      <x:c r="F35" s="14" t="str"/>
      <x:c r="G35" s="14" t="str">
        <x:v>Ísland</x:v>
      </x:c>
      <x:c r="H35" s="14" t="str">
        <x:v>Evra, skráð miðgengi.</x:v>
      </x:c>
    </x:row>
    <x:row r="36">
      <x:c r="A36" s="14" t="str">
        <x:v>gengi</x:v>
      </x:c>
      <x:c r="B36" s="14" t="str">
        <x:v>2/14/2024 12:00:00 AM</x:v>
      </x:c>
      <x:c r="C36" s="21" t="n">
        <x:v>148.7</x:v>
      </x:c>
      <x:c r="D36" s="14" t="str">
        <x:v>ISK/EUR</x:v>
      </x:c>
      <x:c r="E36" s="14" t="str">
        <x:v>SÍ 4064</x:v>
      </x:c>
      <x:c r="F36" s="14" t="str"/>
      <x:c r="G36" s="14" t="str">
        <x:v>Ísland</x:v>
      </x:c>
      <x:c r="H36" s="14" t="str">
        <x:v>Evra, skráð miðgengi.</x:v>
      </x:c>
    </x:row>
    <x:row r="37">
      <x:c r="A37" s="14" t="str">
        <x:v>gengi</x:v>
      </x:c>
      <x:c r="B37" s="14" t="str">
        <x:v>2/15/2024 12:00:00 AM</x:v>
      </x:c>
      <x:c r="C37" s="21" t="n">
        <x:v>148.7</x:v>
      </x:c>
      <x:c r="D37" s="14" t="str">
        <x:v>ISK/EUR</x:v>
      </x:c>
      <x:c r="E37" s="14" t="str">
        <x:v>SÍ 4064</x:v>
      </x:c>
      <x:c r="F37" s="14" t="str"/>
      <x:c r="G37" s="14" t="str">
        <x:v>Ísland</x:v>
      </x:c>
      <x:c r="H37" s="14" t="str">
        <x:v>Evra, skráð miðgengi.</x:v>
      </x:c>
    </x:row>
    <x:row r="38">
      <x:c r="A38" s="14" t="str">
        <x:v>gengi</x:v>
      </x:c>
      <x:c r="B38" s="14" t="str">
        <x:v>2/16/2024 12:00:00 AM</x:v>
      </x:c>
      <x:c r="C38" s="21" t="n">
        <x:v>149.1</x:v>
      </x:c>
      <x:c r="D38" s="14" t="str">
        <x:v>ISK/EUR</x:v>
      </x:c>
      <x:c r="E38" s="14" t="str">
        <x:v>SÍ 4064</x:v>
      </x:c>
      <x:c r="F38" s="14" t="str"/>
      <x:c r="G38" s="14" t="str">
        <x:v>Ísland</x:v>
      </x:c>
      <x:c r="H38" s="14" t="str">
        <x:v>Evra, skráð miðgengi.</x:v>
      </x:c>
    </x:row>
    <x:row r="39">
      <x:c r="A39" s="14" t="str">
        <x:v>gengi</x:v>
      </x:c>
      <x:c r="B39" s="14" t="str">
        <x:v>2/19/2024 12:00:00 AM</x:v>
      </x:c>
      <x:c r="C39" s="21" t="n">
        <x:v>148.7</x:v>
      </x:c>
      <x:c r="D39" s="14" t="str">
        <x:v>ISK/EUR</x:v>
      </x:c>
      <x:c r="E39" s="14" t="str">
        <x:v>SÍ 4064</x:v>
      </x:c>
      <x:c r="F39" s="14" t="str"/>
      <x:c r="G39" s="14" t="str">
        <x:v>Ísland</x:v>
      </x:c>
      <x:c r="H39" s="14" t="str">
        <x:v>Evra, skráð miðgengi.</x:v>
      </x:c>
    </x:row>
    <x:row r="40">
      <x:c r="A40" s="14" t="str">
        <x:v>gengi</x:v>
      </x:c>
      <x:c r="B40" s="14" t="str">
        <x:v>2/20/2024 12:00:00 AM</x:v>
      </x:c>
      <x:c r="C40" s="21" t="n">
        <x:v>148.3</x:v>
      </x:c>
      <x:c r="D40" s="14" t="str">
        <x:v>ISK/EUR</x:v>
      </x:c>
      <x:c r="E40" s="14" t="str">
        <x:v>SÍ 4064</x:v>
      </x:c>
      <x:c r="F40" s="14" t="str"/>
      <x:c r="G40" s="14" t="str">
        <x:v>Ísland</x:v>
      </x:c>
      <x:c r="H40" s="14" t="str">
        <x:v>Evra, skráð miðgengi.</x:v>
      </x:c>
    </x:row>
    <x:row r="41">
      <x:c r="A41" s="14" t="str">
        <x:v>gengi</x:v>
      </x:c>
      <x:c r="B41" s="14" t="str">
        <x:v>2/21/2024 12:00:00 AM</x:v>
      </x:c>
      <x:c r="C41" s="21" t="n">
        <x:v>148.9</x:v>
      </x:c>
      <x:c r="D41" s="14" t="str">
        <x:v>ISK/EUR</x:v>
      </x:c>
      <x:c r="E41" s="14" t="str">
        <x:v>SÍ 4064</x:v>
      </x:c>
      <x:c r="F41" s="14" t="str"/>
      <x:c r="G41" s="14" t="str">
        <x:v>Ísland</x:v>
      </x:c>
      <x:c r="H41" s="14" t="str">
        <x:v>Evra, skráð miðgengi.</x:v>
      </x:c>
    </x:row>
    <x:row r="42">
      <x:c r="A42" s="14" t="str">
        <x:v>gengi</x:v>
      </x:c>
      <x:c r="B42" s="14" t="str">
        <x:v>2/22/2024 12:00:00 AM</x:v>
      </x:c>
      <x:c r="C42" s="21" t="n">
        <x:v>148.9</x:v>
      </x:c>
      <x:c r="D42" s="14" t="str">
        <x:v>ISK/EUR</x:v>
      </x:c>
      <x:c r="E42" s="14" t="str">
        <x:v>SÍ 4064</x:v>
      </x:c>
      <x:c r="F42" s="14" t="str"/>
      <x:c r="G42" s="14" t="str">
        <x:v>Ísland</x:v>
      </x:c>
      <x:c r="H42" s="14" t="str">
        <x:v>Evra, skráð miðgengi.</x:v>
      </x:c>
    </x:row>
    <x:row r="43">
      <x:c r="A43" s="14" t="str">
        <x:v>gengi</x:v>
      </x:c>
      <x:c r="B43" s="14" t="str">
        <x:v>2/23/2024 12:00:00 AM</x:v>
      </x:c>
      <x:c r="C43" s="21" t="n">
        <x:v>148.5</x:v>
      </x:c>
      <x:c r="D43" s="14" t="str">
        <x:v>ISK/EUR</x:v>
      </x:c>
      <x:c r="E43" s="14" t="str">
        <x:v>SÍ 4064</x:v>
      </x:c>
      <x:c r="F43" s="14" t="str"/>
      <x:c r="G43" s="14" t="str">
        <x:v>Ísland</x:v>
      </x:c>
      <x:c r="H43" s="14" t="str">
        <x:v>Evra, skráð miðgengi.</x:v>
      </x:c>
    </x:row>
    <x:row r="44">
      <x:c r="A44" s="14" t="str">
        <x:v>gengi</x:v>
      </x:c>
      <x:c r="B44" s="14" t="str">
        <x:v>2/26/2024 12:00:00 AM</x:v>
      </x:c>
      <x:c r="C44" s="21" t="n">
        <x:v>149.3</x:v>
      </x:c>
      <x:c r="D44" s="14" t="str">
        <x:v>ISK/EUR</x:v>
      </x:c>
      <x:c r="E44" s="14" t="str">
        <x:v>SÍ 4064</x:v>
      </x:c>
      <x:c r="F44" s="14" t="str"/>
      <x:c r="G44" s="14" t="str">
        <x:v>Ísland</x:v>
      </x:c>
      <x:c r="H44" s="14" t="str">
        <x:v>Evra, skráð miðgengi.</x:v>
      </x:c>
    </x:row>
    <x:row r="45">
      <x:c r="A45" s="14" t="str">
        <x:v>gengi</x:v>
      </x:c>
      <x:c r="B45" s="14" t="str">
        <x:v>2/27/2024 12:00:00 AM</x:v>
      </x:c>
      <x:c r="C45" s="21" t="n">
        <x:v>149.3</x:v>
      </x:c>
      <x:c r="D45" s="14" t="str">
        <x:v>ISK/EUR</x:v>
      </x:c>
      <x:c r="E45" s="14" t="str">
        <x:v>SÍ 4064</x:v>
      </x:c>
      <x:c r="F45" s="14" t="str"/>
      <x:c r="G45" s="14" t="str">
        <x:v>Ísland</x:v>
      </x:c>
      <x:c r="H45" s="14" t="str">
        <x:v>Evra, skráð miðgengi.</x:v>
      </x:c>
    </x:row>
    <x:row r="46">
      <x:c r="A46" s="14" t="str">
        <x:v>gengi</x:v>
      </x:c>
      <x:c r="B46" s="14" t="str">
        <x:v>2/28/2024 12:00:00 AM</x:v>
      </x:c>
      <x:c r="C46" s="21" t="n">
        <x:v>149.3</x:v>
      </x:c>
      <x:c r="D46" s="14" t="str">
        <x:v>ISK/EUR</x:v>
      </x:c>
      <x:c r="E46" s="14" t="str">
        <x:v>SÍ 4064</x:v>
      </x:c>
      <x:c r="F46" s="14" t="str"/>
      <x:c r="G46" s="14" t="str">
        <x:v>Ísland</x:v>
      </x:c>
      <x:c r="H46" s="14" t="str">
        <x:v>Evra, skráð miðgengi.</x:v>
      </x:c>
    </x:row>
    <x:row r="47">
      <x:c r="A47" s="14" t="str">
        <x:v>gengi</x:v>
      </x:c>
      <x:c r="B47" s="14" t="str">
        <x:v>2/29/2024 12:00:00 AM</x:v>
      </x:c>
      <x:c r="C47" s="21" t="n">
        <x:v>149.3</x:v>
      </x:c>
      <x:c r="D47" s="14" t="str">
        <x:v>ISK/EUR</x:v>
      </x:c>
      <x:c r="E47" s="14" t="str">
        <x:v>SÍ 4064</x:v>
      </x:c>
      <x:c r="F47" s="14" t="str"/>
      <x:c r="G47" s="14" t="str">
        <x:v>Ísland</x:v>
      </x:c>
      <x:c r="H47" s="14" t="str">
        <x:v>Evra, skráð miðgengi.</x:v>
      </x:c>
    </x:row>
    <x:row r="48">
      <x:c r="A48" s="14" t="str">
        <x:v>gengi</x:v>
      </x:c>
      <x:c r="B48" s="14" t="str">
        <x:v>3/1/2024 12:00:00 AM</x:v>
      </x:c>
      <x:c r="C48" s="21" t="n">
        <x:v>149.5</x:v>
      </x:c>
      <x:c r="D48" s="14" t="str">
        <x:v>ISK/EUR</x:v>
      </x:c>
      <x:c r="E48" s="14" t="str">
        <x:v>SÍ 4064</x:v>
      </x:c>
      <x:c r="F48" s="14" t="str"/>
      <x:c r="G48" s="14" t="str">
        <x:v>Ísland</x:v>
      </x:c>
      <x:c r="H48" s="14" t="str">
        <x:v>Evra, skráð miðgengi.</x:v>
      </x:c>
    </x:row>
    <x:row r="49">
      <x:c r="A49" s="14" t="str">
        <x:v>gengi</x:v>
      </x:c>
      <x:c r="B49" s="14" t="str">
        <x:v>3/4/2024 12:00:00 AM</x:v>
      </x:c>
      <x:c r="C49" s="21" t="n">
        <x:v>149.5</x:v>
      </x:c>
      <x:c r="D49" s="14" t="str">
        <x:v>ISK/EUR</x:v>
      </x:c>
      <x:c r="E49" s="14" t="str">
        <x:v>SÍ 4064</x:v>
      </x:c>
      <x:c r="F49" s="14" t="str"/>
      <x:c r="G49" s="14" t="str">
        <x:v>Ísland</x:v>
      </x:c>
      <x:c r="H49" s="14" t="str">
        <x:v>Evra, skráð miðgengi.</x:v>
      </x:c>
    </x:row>
    <x:row r="50">
      <x:c r="A50" s="14" t="str">
        <x:v>gengi</x:v>
      </x:c>
      <x:c r="B50" s="14" t="str">
        <x:v>3/5/2024 12:00:00 AM</x:v>
      </x:c>
      <x:c r="C50" s="21" t="n">
        <x:v>149.1</x:v>
      </x:c>
      <x:c r="D50" s="14" t="str">
        <x:v>ISK/EUR</x:v>
      </x:c>
      <x:c r="E50" s="14" t="str">
        <x:v>SÍ 4064</x:v>
      </x:c>
      <x:c r="F50" s="14" t="str"/>
      <x:c r="G50" s="14" t="str">
        <x:v>Ísland</x:v>
      </x:c>
      <x:c r="H50" s="14" t="str">
        <x:v>Evra, skráð miðgengi.</x:v>
      </x:c>
    </x:row>
    <x:row r="51">
      <x:c r="A51" s="14" t="str">
        <x:v>gengi</x:v>
      </x:c>
      <x:c r="B51" s="14" t="str">
        <x:v>3/6/2024 12:00:00 AM</x:v>
      </x:c>
      <x:c r="C51" s="21" t="n">
        <x:v>148.9</x:v>
      </x:c>
      <x:c r="D51" s="14" t="str">
        <x:v>ISK/EUR</x:v>
      </x:c>
      <x:c r="E51" s="14" t="str">
        <x:v>SÍ 4064</x:v>
      </x:c>
      <x:c r="F51" s="14" t="str"/>
      <x:c r="G51" s="14" t="str">
        <x:v>Ísland</x:v>
      </x:c>
      <x:c r="H51" s="14" t="str">
        <x:v>Evra, skráð miðgengi.</x:v>
      </x:c>
    </x:row>
    <x:row r="52">
      <x:c r="A52" s="14" t="str">
        <x:v>gengi</x:v>
      </x:c>
      <x:c r="B52" s="14" t="str">
        <x:v>3/7/2024 12:00:00 AM</x:v>
      </x:c>
      <x:c r="C52" s="21" t="n">
        <x:v>148.5</x:v>
      </x:c>
      <x:c r="D52" s="14" t="str">
        <x:v>ISK/EUR</x:v>
      </x:c>
      <x:c r="E52" s="14" t="str">
        <x:v>SÍ 4064</x:v>
      </x:c>
      <x:c r="F52" s="14" t="str"/>
      <x:c r="G52" s="14" t="str">
        <x:v>Ísland</x:v>
      </x:c>
      <x:c r="H52" s="14" t="str">
        <x:v>Evra, skráð miðgengi.</x:v>
      </x:c>
    </x:row>
    <x:row r="53">
      <x:c r="A53" s="14" t="str">
        <x:v>gengi</x:v>
      </x:c>
      <x:c r="B53" s="14" t="str">
        <x:v>3/8/2024 12:00:00 AM</x:v>
      </x:c>
      <x:c r="C53" s="21" t="n">
        <x:v>149.3</x:v>
      </x:c>
      <x:c r="D53" s="14" t="str">
        <x:v>ISK/EUR</x:v>
      </x:c>
      <x:c r="E53" s="14" t="str">
        <x:v>SÍ 4064</x:v>
      </x:c>
      <x:c r="F53" s="14" t="str"/>
      <x:c r="G53" s="14" t="str">
        <x:v>Ísland</x:v>
      </x:c>
      <x:c r="H53" s="14" t="str">
        <x:v>Evra, skráð miðgengi.</x:v>
      </x:c>
    </x:row>
    <x:row r="54">
      <x:c r="A54" s="14" t="str">
        <x:v>gengi</x:v>
      </x:c>
      <x:c r="B54" s="14" t="str">
        <x:v>3/11/2024 12:00:00 AM</x:v>
      </x:c>
      <x:c r="C54" s="21" t="n">
        <x:v>148.9</x:v>
      </x:c>
      <x:c r="D54" s="14" t="str">
        <x:v>ISK/EUR</x:v>
      </x:c>
      <x:c r="E54" s="14" t="str">
        <x:v>SÍ 4064</x:v>
      </x:c>
      <x:c r="F54" s="14" t="str"/>
      <x:c r="G54" s="14" t="str">
        <x:v>Ísland</x:v>
      </x:c>
      <x:c r="H54" s="14" t="str">
        <x:v>Evra, skráð miðgengi.</x:v>
      </x:c>
    </x:row>
    <x:row r="55">
      <x:c r="A55" s="14" t="str">
        <x:v>gengi</x:v>
      </x:c>
      <x:c r="B55" s="14" t="str">
        <x:v>3/12/2024 12:00:00 AM</x:v>
      </x:c>
      <x:c r="C55" s="21" t="n">
        <x:v>148.7</x:v>
      </x:c>
      <x:c r="D55" s="14" t="str">
        <x:v>ISK/EUR</x:v>
      </x:c>
      <x:c r="E55" s="14" t="str">
        <x:v>SÍ 4064</x:v>
      </x:c>
      <x:c r="F55" s="14" t="str"/>
      <x:c r="G55" s="14" t="str">
        <x:v>Ísland</x:v>
      </x:c>
      <x:c r="H55" s="14" t="str">
        <x:v>Evra, skráð miðgengi.</x:v>
      </x:c>
    </x:row>
    <x:row r="56">
      <x:c r="A56" s="14" t="str">
        <x:v>gengi</x:v>
      </x:c>
      <x:c r="B56" s="14" t="str">
        <x:v>3/13/2024 12:00:00 AM</x:v>
      </x:c>
      <x:c r="C56" s="21" t="n">
        <x:v>148.5</x:v>
      </x:c>
      <x:c r="D56" s="14" t="str">
        <x:v>ISK/EUR</x:v>
      </x:c>
      <x:c r="E56" s="14" t="str">
        <x:v>SÍ 4064</x:v>
      </x:c>
      <x:c r="F56" s="14" t="str"/>
      <x:c r="G56" s="14" t="str">
        <x:v>Ísland</x:v>
      </x:c>
      <x:c r="H56" s="14" t="str">
        <x:v>Evra, skráð miðgengi.</x:v>
      </x:c>
    </x:row>
    <x:row r="57">
      <x:c r="A57" s="14" t="str">
        <x:v>gengi</x:v>
      </x:c>
      <x:c r="B57" s="14" t="str">
        <x:v>3/14/2024 12:00:00 AM</x:v>
      </x:c>
      <x:c r="C57" s="21" t="n">
        <x:v>148.5</x:v>
      </x:c>
      <x:c r="D57" s="14" t="str">
        <x:v>ISK/EUR</x:v>
      </x:c>
      <x:c r="E57" s="14" t="str">
        <x:v>SÍ 4064</x:v>
      </x:c>
      <x:c r="F57" s="14" t="str"/>
      <x:c r="G57" s="14" t="str">
        <x:v>Ísland</x:v>
      </x:c>
      <x:c r="H57" s="14" t="str">
        <x:v>Evra, skráð miðgengi.</x:v>
      </x:c>
    </x:row>
    <x:row r="58">
      <x:c r="A58" s="14" t="str">
        <x:v>gengi</x:v>
      </x:c>
      <x:c r="B58" s="14" t="str">
        <x:v>3/15/2024 12:00:00 AM</x:v>
      </x:c>
      <x:c r="C58" s="21" t="n">
        <x:v>149.1</x:v>
      </x:c>
      <x:c r="D58" s="14" t="str">
        <x:v>ISK/EUR</x:v>
      </x:c>
      <x:c r="E58" s="14" t="str">
        <x:v>SÍ 4064</x:v>
      </x:c>
      <x:c r="F58" s="14" t="str"/>
      <x:c r="G58" s="14" t="str">
        <x:v>Ísland</x:v>
      </x:c>
      <x:c r="H58" s="14" t="str">
        <x:v>Evra, skráð miðgengi.</x:v>
      </x:c>
    </x:row>
    <x:row r="59">
      <x:c r="A59" s="14" t="str">
        <x:v>gengi</x:v>
      </x:c>
      <x:c r="B59" s="14" t="str">
        <x:v>3/18/2024 12:00:00 AM</x:v>
      </x:c>
      <x:c r="C59" s="21" t="n">
        <x:v>148.9</x:v>
      </x:c>
      <x:c r="D59" s="14" t="str">
        <x:v>ISK/EUR</x:v>
      </x:c>
      <x:c r="E59" s="14" t="str">
        <x:v>SÍ 4064</x:v>
      </x:c>
      <x:c r="F59" s="14" t="str"/>
      <x:c r="G59" s="14" t="str">
        <x:v>Ísland</x:v>
      </x:c>
      <x:c r="H59" s="14" t="str">
        <x:v>Evra, skráð miðgengi.</x:v>
      </x:c>
    </x:row>
    <x:row r="60">
      <x:c r="A60" s="14" t="str">
        <x:v>gengi</x:v>
      </x:c>
      <x:c r="B60" s="14" t="str">
        <x:v>3/19/2024 12:00:00 AM</x:v>
      </x:c>
      <x:c r="C60" s="21" t="n">
        <x:v>148.9</x:v>
      </x:c>
      <x:c r="D60" s="14" t="str">
        <x:v>ISK/EUR</x:v>
      </x:c>
      <x:c r="E60" s="14" t="str">
        <x:v>SÍ 4064</x:v>
      </x:c>
      <x:c r="F60" s="14" t="str"/>
      <x:c r="G60" s="14" t="str">
        <x:v>Ísland</x:v>
      </x:c>
      <x:c r="H60" s="14" t="str">
        <x:v>Evra, skráð miðgengi.</x:v>
      </x:c>
    </x:row>
    <x:row r="61">
      <x:c r="A61" s="14" t="str">
        <x:v>gengi</x:v>
      </x:c>
      <x:c r="B61" s="14" t="str">
        <x:v>3/20/2024 12:00:00 AM</x:v>
      </x:c>
      <x:c r="C61" s="21" t="n">
        <x:v>148.5</x:v>
      </x:c>
      <x:c r="D61" s="14" t="str">
        <x:v>ISK/EUR</x:v>
      </x:c>
      <x:c r="E61" s="14" t="str">
        <x:v>SÍ 4064</x:v>
      </x:c>
      <x:c r="F61" s="14" t="str"/>
      <x:c r="G61" s="14" t="str">
        <x:v>Ísland</x:v>
      </x:c>
      <x:c r="H61" s="14" t="str">
        <x:v>Evra, skráð miðgengi.</x:v>
      </x:c>
    </x:row>
    <x:row r="62">
      <x:c r="A62" s="14" t="str">
        <x:v>gengi</x:v>
      </x:c>
      <x:c r="B62" s="14" t="str">
        <x:v>3/21/2024 12:00:00 AM</x:v>
      </x:c>
      <x:c r="C62" s="21" t="n">
        <x:v>148.7</x:v>
      </x:c>
      <x:c r="D62" s="14" t="str">
        <x:v>ISK/EUR</x:v>
      </x:c>
      <x:c r="E62" s="14" t="str">
        <x:v>SÍ 4064</x:v>
      </x:c>
      <x:c r="F62" s="14" t="str"/>
      <x:c r="G62" s="14" t="str">
        <x:v>Ísland</x:v>
      </x:c>
      <x:c r="H62" s="14" t="str">
        <x:v>Evra, skráð miðgengi.</x:v>
      </x:c>
    </x:row>
    <x:row r="63">
      <x:c r="A63" s="14" t="str">
        <x:v>gengi</x:v>
      </x:c>
      <x:c r="B63" s="14" t="str">
        <x:v>3/22/2024 12:00:00 AM</x:v>
      </x:c>
      <x:c r="C63" s="21" t="n">
        <x:v>148.9</x:v>
      </x:c>
      <x:c r="D63" s="14" t="str">
        <x:v>ISK/EUR</x:v>
      </x:c>
      <x:c r="E63" s="14" t="str">
        <x:v>SÍ 4064</x:v>
      </x:c>
      <x:c r="F63" s="14" t="str"/>
      <x:c r="G63" s="14" t="str">
        <x:v>Ísland</x:v>
      </x:c>
      <x:c r="H63" s="14" t="str">
        <x:v>Evra, skráð miðgengi.</x:v>
      </x:c>
    </x:row>
    <x:row r="64">
      <x:c r="A64" s="14" t="str">
        <x:v>gengi</x:v>
      </x:c>
      <x:c r="B64" s="14" t="str">
        <x:v>3/25/2024 12:00:00 AM</x:v>
      </x:c>
      <x:c r="C64" s="21" t="n">
        <x:v>149.1</x:v>
      </x:c>
      <x:c r="D64" s="14" t="str">
        <x:v>ISK/EUR</x:v>
      </x:c>
      <x:c r="E64" s="14" t="str">
        <x:v>SÍ 4064</x:v>
      </x:c>
      <x:c r="F64" s="14" t="str"/>
      <x:c r="G64" s="14" t="str">
        <x:v>Ísland</x:v>
      </x:c>
      <x:c r="H64" s="14" t="str">
        <x:v>Evra, skráð miðgengi.</x:v>
      </x:c>
    </x:row>
    <x:row r="65">
      <x:c r="A65" s="14" t="str">
        <x:v>gengi</x:v>
      </x:c>
      <x:c r="B65" s="14" t="str">
        <x:v>3/26/2024 12:00:00 AM</x:v>
      </x:c>
      <x:c r="C65" s="21" t="n">
        <x:v>149.3</x:v>
      </x:c>
      <x:c r="D65" s="14" t="str">
        <x:v>ISK/EUR</x:v>
      </x:c>
      <x:c r="E65" s="14" t="str">
        <x:v>SÍ 4064</x:v>
      </x:c>
      <x:c r="F65" s="14" t="str"/>
      <x:c r="G65" s="14" t="str">
        <x:v>Ísland</x:v>
      </x:c>
      <x:c r="H65" s="14" t="str">
        <x:v>Evra, skráð miðgengi.</x:v>
      </x:c>
    </x:row>
    <x:row r="66">
      <x:c r="A66" s="14" t="str">
        <x:v>gengi</x:v>
      </x:c>
      <x:c r="B66" s="14" t="str">
        <x:v>3/27/2024 12:00:00 AM</x:v>
      </x:c>
      <x:c r="C66" s="21" t="n">
        <x:v>149.9</x:v>
      </x:c>
      <x:c r="D66" s="14" t="str">
        <x:v>ISK/EUR</x:v>
      </x:c>
      <x:c r="E66" s="14" t="str">
        <x:v>SÍ 4064</x:v>
      </x:c>
      <x:c r="F66" s="14" t="str"/>
      <x:c r="G66" s="14" t="str">
        <x:v>Ísland</x:v>
      </x:c>
      <x:c r="H66" s="14" t="str">
        <x:v>Evra, skráð miðgengi.</x:v>
      </x:c>
    </x:row>
    <x:row r="67">
      <x:c r="A67" s="14" t="str">
        <x:v>gengi</x:v>
      </x:c>
      <x:c r="B67" s="14" t="str">
        <x:v>4/2/2024 12:00:00 AM</x:v>
      </x:c>
      <x:c r="C67" s="21" t="n">
        <x:v>150.1</x:v>
      </x:c>
      <x:c r="D67" s="14" t="str">
        <x:v>ISK/EUR</x:v>
      </x:c>
      <x:c r="E67" s="14" t="str">
        <x:v>SÍ 4064</x:v>
      </x:c>
      <x:c r="F67" s="14" t="str"/>
      <x:c r="G67" s="14" t="str">
        <x:v>Ísland</x:v>
      </x:c>
      <x:c r="H67" s="14" t="str">
        <x:v>Evra, skráð miðgengi.</x:v>
      </x:c>
    </x:row>
    <x:row r="68">
      <x:c r="A68" s="14" t="str">
        <x:v>gengi</x:v>
      </x:c>
      <x:c r="B68" s="14" t="str">
        <x:v>4/3/2024 12:00:00 AM</x:v>
      </x:c>
      <x:c r="C68" s="21" t="n">
        <x:v>150.1</x:v>
      </x:c>
      <x:c r="D68" s="14" t="str">
        <x:v>ISK/EUR</x:v>
      </x:c>
      <x:c r="E68" s="14" t="str">
        <x:v>SÍ 4064</x:v>
      </x:c>
      <x:c r="F68" s="14" t="str"/>
      <x:c r="G68" s="14" t="str">
        <x:v>Ísland</x:v>
      </x:c>
      <x:c r="H68" s="14" t="str">
        <x:v>Evra, skráð miðgengi.</x:v>
      </x:c>
    </x:row>
    <x:row r="69">
      <x:c r="A69" s="14" t="str">
        <x:v>gengi</x:v>
      </x:c>
      <x:c r="B69" s="14" t="str">
        <x:v>4/4/2024 12:00:00 AM</x:v>
      </x:c>
      <x:c r="C69" s="21" t="n">
        <x:v>150.5</x:v>
      </x:c>
      <x:c r="D69" s="14" t="str">
        <x:v>ISK/EUR</x:v>
      </x:c>
      <x:c r="E69" s="14" t="str">
        <x:v>SÍ 4064</x:v>
      </x:c>
      <x:c r="F69" s="14" t="str"/>
      <x:c r="G69" s="14" t="str">
        <x:v>Ísland</x:v>
      </x:c>
      <x:c r="H69" s="14" t="str">
        <x:v>Evra, skráð miðgengi.</x:v>
      </x:c>
    </x:row>
    <x:row r="70">
      <x:c r="A70" s="14" t="str">
        <x:v>gengi</x:v>
      </x:c>
      <x:c r="B70" s="14" t="str">
        <x:v>4/5/2024 12:00:00 AM</x:v>
      </x:c>
      <x:c r="C70" s="21" t="n">
        <x:v>150.3</x:v>
      </x:c>
      <x:c r="D70" s="14" t="str">
        <x:v>ISK/EUR</x:v>
      </x:c>
      <x:c r="E70" s="14" t="str">
        <x:v>SÍ 4064</x:v>
      </x:c>
      <x:c r="F70" s="14" t="str"/>
      <x:c r="G70" s="14" t="str">
        <x:v>Ísland</x:v>
      </x:c>
      <x:c r="H70" s="14" t="str">
        <x:v>Evra, skráð miðgengi.</x:v>
      </x:c>
    </x:row>
    <x:row r="71">
      <x:c r="A71" s="14" t="str">
        <x:v>gengi</x:v>
      </x:c>
      <x:c r="B71" s="14" t="str">
        <x:v>4/8/2024 12:00:00 AM</x:v>
      </x:c>
      <x:c r="C71" s="21" t="n">
        <x:v>150.3</x:v>
      </x:c>
      <x:c r="D71" s="14" t="str">
        <x:v>ISK/EUR</x:v>
      </x:c>
      <x:c r="E71" s="14" t="str">
        <x:v>SÍ 4064</x:v>
      </x:c>
      <x:c r="F71" s="14" t="str"/>
      <x:c r="G71" s="14" t="str">
        <x:v>Ísland</x:v>
      </x:c>
      <x:c r="H71" s="14" t="str">
        <x:v>Evra, skráð miðgengi.</x:v>
      </x:c>
    </x:row>
    <x:row r="72">
      <x:c r="A72" s="14" t="str">
        <x:v>gengi</x:v>
      </x:c>
      <x:c r="B72" s="14" t="str">
        <x:v>4/9/2024 12:00:00 AM</x:v>
      </x:c>
      <x:c r="C72" s="21" t="n">
        <x:v>150.3</x:v>
      </x:c>
      <x:c r="D72" s="14" t="str">
        <x:v>ISK/EUR</x:v>
      </x:c>
      <x:c r="E72" s="14" t="str">
        <x:v>SÍ 4064</x:v>
      </x:c>
      <x:c r="F72" s="14" t="str"/>
      <x:c r="G72" s="14" t="str">
        <x:v>Ísland</x:v>
      </x:c>
      <x:c r="H72" s="14" t="str">
        <x:v>Evra, skráð miðgengi.</x:v>
      </x:c>
    </x:row>
    <x:row r="73">
      <x:c r="A73" s="14" t="str">
        <x:v>gengi</x:v>
      </x:c>
      <x:c r="B73" s="14" t="str">
        <x:v>4/10/2024 12:00:00 AM</x:v>
      </x:c>
      <x:c r="C73" s="21" t="n">
        <x:v>150.7</x:v>
      </x:c>
      <x:c r="D73" s="14" t="str">
        <x:v>ISK/EUR</x:v>
      </x:c>
      <x:c r="E73" s="14" t="str">
        <x:v>SÍ 4064</x:v>
      </x:c>
      <x:c r="F73" s="14" t="str"/>
      <x:c r="G73" s="14" t="str">
        <x:v>Ísland</x:v>
      </x:c>
      <x:c r="H73" s="14" t="str">
        <x:v>Evra, skráð miðgengi.</x:v>
      </x:c>
    </x:row>
    <x:row r="74">
      <x:c r="A74" s="14" t="str">
        <x:v>gengi</x:v>
      </x:c>
      <x:c r="B74" s="14" t="str">
        <x:v>4/11/2024 12:00:00 AM</x:v>
      </x:c>
      <x:c r="C74" s="21" t="n">
        <x:v>150.3</x:v>
      </x:c>
      <x:c r="D74" s="14" t="str">
        <x:v>ISK/EUR</x:v>
      </x:c>
      <x:c r="E74" s="14" t="str">
        <x:v>SÍ 4064</x:v>
      </x:c>
      <x:c r="F74" s="14" t="str"/>
      <x:c r="G74" s="14" t="str">
        <x:v>Ísland</x:v>
      </x:c>
      <x:c r="H74" s="14" t="str">
        <x:v>Evra, skráð miðgengi.</x:v>
      </x:c>
    </x:row>
    <x:row r="75">
      <x:c r="A75" s="14" t="str">
        <x:v>gengi</x:v>
      </x:c>
      <x:c r="B75" s="14" t="str">
        <x:v>4/12/2024 12:00:00 AM</x:v>
      </x:c>
      <x:c r="C75" s="21" t="n">
        <x:v>150.5</x:v>
      </x:c>
      <x:c r="D75" s="14" t="str">
        <x:v>ISK/EUR</x:v>
      </x:c>
      <x:c r="E75" s="14" t="str">
        <x:v>SÍ 4064</x:v>
      </x:c>
      <x:c r="F75" s="14" t="str"/>
      <x:c r="G75" s="14" t="str">
        <x:v>Ísland</x:v>
      </x:c>
      <x:c r="H75" s="14" t="str">
        <x:v>Evra, skráð miðgengi.</x:v>
      </x:c>
    </x:row>
    <x:row r="76">
      <x:c r="A76" s="14" t="str">
        <x:v>gengi</x:v>
      </x:c>
      <x:c r="B76" s="14" t="str">
        <x:v>4/15/2024 12:00:00 AM</x:v>
      </x:c>
      <x:c r="C76" s="21" t="n">
        <x:v>150.7</x:v>
      </x:c>
      <x:c r="D76" s="14" t="str">
        <x:v>ISK/EUR</x:v>
      </x:c>
      <x:c r="E76" s="14" t="str">
        <x:v>SÍ 4064</x:v>
      </x:c>
      <x:c r="F76" s="14" t="str"/>
      <x:c r="G76" s="14" t="str">
        <x:v>Ísland</x:v>
      </x:c>
      <x:c r="H76" s="14" t="str">
        <x:v>Evra, skráð miðgengi.</x:v>
      </x:c>
    </x:row>
    <x:row r="77">
      <x:c r="A77" s="14" t="str">
        <x:v>gengi</x:v>
      </x:c>
      <x:c r="B77" s="14" t="str">
        <x:v>4/16/2024 12:00:00 AM</x:v>
      </x:c>
      <x:c r="C77" s="21" t="n">
        <x:v>150.7</x:v>
      </x:c>
      <x:c r="D77" s="14" t="str">
        <x:v>ISK/EUR</x:v>
      </x:c>
      <x:c r="E77" s="14" t="str">
        <x:v>SÍ 4064</x:v>
      </x:c>
      <x:c r="F77" s="14" t="str"/>
      <x:c r="G77" s="14" t="str">
        <x:v>Ísland</x:v>
      </x:c>
      <x:c r="H77" s="14" t="str">
        <x:v>Evra, skráð miðgengi.</x:v>
      </x:c>
    </x:row>
    <x:row r="78">
      <x:c r="A78" s="14" t="str">
        <x:v>gengi</x:v>
      </x:c>
      <x:c r="B78" s="14" t="str">
        <x:v>4/17/2024 12:00:00 AM</x:v>
      </x:c>
      <x:c r="C78" s="21" t="n">
        <x:v>150.5</x:v>
      </x:c>
      <x:c r="D78" s="14" t="str">
        <x:v>ISK/EUR</x:v>
      </x:c>
      <x:c r="E78" s="14" t="str">
        <x:v>SÍ 4064</x:v>
      </x:c>
      <x:c r="F78" s="14" t="str"/>
      <x:c r="G78" s="14" t="str">
        <x:v>Ísland</x:v>
      </x:c>
      <x:c r="H78" s="14" t="str">
        <x:v>Evra, skráð miðgengi.</x:v>
      </x:c>
    </x:row>
    <x:row r="79">
      <x:c r="A79" s="14" t="str">
        <x:v>gengi</x:v>
      </x:c>
      <x:c r="B79" s="14" t="str">
        <x:v>4/18/2024 12:00:00 AM</x:v>
      </x:c>
      <x:c r="C79" s="21" t="n">
        <x:v>150.3</x:v>
      </x:c>
      <x:c r="D79" s="14" t="str">
        <x:v>ISK/EUR</x:v>
      </x:c>
      <x:c r="E79" s="14" t="str">
        <x:v>SÍ 4064</x:v>
      </x:c>
      <x:c r="F79" s="14" t="str"/>
      <x:c r="G79" s="14" t="str">
        <x:v>Ísland</x:v>
      </x:c>
      <x:c r="H79" s="14" t="str">
        <x:v>Evra, skráð miðgengi.</x:v>
      </x:c>
    </x:row>
    <x:row r="80">
      <x:c r="A80" s="14" t="str">
        <x:v>gengi</x:v>
      </x:c>
      <x:c r="B80" s="14" t="str">
        <x:v>4/19/2024 12:00:00 AM</x:v>
      </x:c>
      <x:c r="C80" s="21" t="n">
        <x:v>150.3</x:v>
      </x:c>
      <x:c r="D80" s="14" t="str">
        <x:v>ISK/EUR</x:v>
      </x:c>
      <x:c r="E80" s="14" t="str">
        <x:v>SÍ 4064</x:v>
      </x:c>
      <x:c r="F80" s="14" t="str"/>
      <x:c r="G80" s="14" t="str">
        <x:v>Ísland</x:v>
      </x:c>
      <x:c r="H80" s="14" t="str">
        <x:v>Evra, skráð miðgengi.</x:v>
      </x:c>
    </x:row>
    <x:row r="81">
      <x:c r="A81" s="14" t="str">
        <x:v>gengi</x:v>
      </x:c>
      <x:c r="B81" s="14" t="str">
        <x:v>4/22/2024 12:00:00 AM</x:v>
      </x:c>
      <x:c r="C81" s="21" t="n">
        <x:v>150.3</x:v>
      </x:c>
      <x:c r="D81" s="14" t="str">
        <x:v>ISK/EUR</x:v>
      </x:c>
      <x:c r="E81" s="14" t="str">
        <x:v>SÍ 4064</x:v>
      </x:c>
      <x:c r="F81" s="14" t="str"/>
      <x:c r="G81" s="14" t="str">
        <x:v>Ísland</x:v>
      </x:c>
      <x:c r="H81" s="14" t="str">
        <x:v>Evra, skráð miðgengi.</x:v>
      </x:c>
    </x:row>
    <x:row r="82">
      <x:c r="A82" s="14" t="str">
        <x:v>gengi</x:v>
      </x:c>
      <x:c r="B82" s="14" t="str">
        <x:v>4/23/2024 12:00:00 AM</x:v>
      </x:c>
      <x:c r="C82" s="21" t="n">
        <x:v>150.3</x:v>
      </x:c>
      <x:c r="D82" s="14" t="str">
        <x:v>ISK/EUR</x:v>
      </x:c>
      <x:c r="E82" s="14" t="str">
        <x:v>SÍ 4064</x:v>
      </x:c>
      <x:c r="F82" s="14" t="str"/>
      <x:c r="G82" s="14" t="str">
        <x:v>Ísland</x:v>
      </x:c>
      <x:c r="H82" s="14" t="str">
        <x:v>Evra, skráð miðgengi.</x:v>
      </x:c>
    </x:row>
    <x:row r="83">
      <x:c r="A83" s="14" t="str">
        <x:v>gengi</x:v>
      </x:c>
      <x:c r="B83" s="14" t="str">
        <x:v>4/24/2024 12:00:00 AM</x:v>
      </x:c>
      <x:c r="C83" s="21" t="n">
        <x:v>150.3</x:v>
      </x:c>
      <x:c r="D83" s="14" t="str">
        <x:v>ISK/EUR</x:v>
      </x:c>
      <x:c r="E83" s="14" t="str">
        <x:v>SÍ 4064</x:v>
      </x:c>
      <x:c r="F83" s="14" t="str"/>
      <x:c r="G83" s="14" t="str">
        <x:v>Ísland</x:v>
      </x:c>
      <x:c r="H83" s="14" t="str">
        <x:v>Evra, skráð miðgengi.</x:v>
      </x:c>
    </x:row>
    <x:row r="84">
      <x:c r="A84" s="14" t="str">
        <x:v>gengi</x:v>
      </x:c>
      <x:c r="B84" s="14" t="str">
        <x:v>4/26/2024 12:00:00 AM</x:v>
      </x:c>
      <x:c r="C84" s="21" t="n">
        <x:v>150.3</x:v>
      </x:c>
      <x:c r="D84" s="14" t="str">
        <x:v>ISK/EUR</x:v>
      </x:c>
      <x:c r="E84" s="14" t="str">
        <x:v>SÍ 4064</x:v>
      </x:c>
      <x:c r="F84" s="14" t="str"/>
      <x:c r="G84" s="14" t="str">
        <x:v>Ísland</x:v>
      </x:c>
      <x:c r="H84" s="14" t="str">
        <x:v>Evra, skráð miðgengi.</x:v>
      </x:c>
    </x:row>
    <x:row r="85">
      <x:c r="A85" s="14" t="str">
        <x:v>gengi</x:v>
      </x:c>
      <x:c r="B85" s="14" t="str">
        <x:v>4/29/2024 12:00:00 AM</x:v>
      </x:c>
      <x:c r="C85" s="21" t="n">
        <x:v>150.3</x:v>
      </x:c>
      <x:c r="D85" s="14" t="str">
        <x:v>ISK/EUR</x:v>
      </x:c>
      <x:c r="E85" s="14" t="str">
        <x:v>SÍ 4064</x:v>
      </x:c>
      <x:c r="F85" s="14" t="str"/>
      <x:c r="G85" s="14" t="str">
        <x:v>Ísland</x:v>
      </x:c>
      <x:c r="H85" s="14" t="str">
        <x:v>Evra, skráð miðgengi.</x:v>
      </x:c>
    </x:row>
    <x:row r="86">
      <x:c r="A86" s="14" t="str">
        <x:v>gengi</x:v>
      </x:c>
      <x:c r="B86" s="14" t="str">
        <x:v>4/30/2024 12:00:00 AM</x:v>
      </x:c>
      <x:c r="C86" s="21" t="n">
        <x:v>150.3</x:v>
      </x:c>
      <x:c r="D86" s="14" t="str">
        <x:v>ISK/EUR</x:v>
      </x:c>
      <x:c r="E86" s="14" t="str">
        <x:v>SÍ 4064</x:v>
      </x:c>
      <x:c r="F86" s="14" t="str"/>
      <x:c r="G86" s="14" t="str">
        <x:v>Ísland</x:v>
      </x:c>
      <x:c r="H86" s="14" t="str">
        <x:v>Evra, skráð miðgengi.</x:v>
      </x:c>
    </x:row>
    <x:row r="87">
      <x:c r="A87" s="14" t="str">
        <x:v>gengi</x:v>
      </x:c>
      <x:c r="B87" s="14" t="str">
        <x:v>5/2/2024 12:00:00 AM</x:v>
      </x:c>
      <x:c r="C87" s="21" t="n">
        <x:v>150.1</x:v>
      </x:c>
      <x:c r="D87" s="14" t="str">
        <x:v>ISK/EUR</x:v>
      </x:c>
      <x:c r="E87" s="14" t="str">
        <x:v>SÍ 4064</x:v>
      </x:c>
      <x:c r="F87" s="14" t="str"/>
      <x:c r="G87" s="14" t="str">
        <x:v>Ísland</x:v>
      </x:c>
      <x:c r="H87" s="14" t="str">
        <x:v>Evra, skráð miðgengi.</x:v>
      </x:c>
    </x:row>
    <x:row r="88">
      <x:c r="A88" s="14" t="str">
        <x:v>gengi</x:v>
      </x:c>
      <x:c r="B88" s="14" t="str">
        <x:v>5/3/2024 12:00:00 AM</x:v>
      </x:c>
      <x:c r="C88" s="21" t="n">
        <x:v>150.3</x:v>
      </x:c>
      <x:c r="D88" s="14" t="str">
        <x:v>ISK/EUR</x:v>
      </x:c>
      <x:c r="E88" s="14" t="str">
        <x:v>SÍ 4064</x:v>
      </x:c>
      <x:c r="F88" s="14" t="str"/>
      <x:c r="G88" s="14" t="str">
        <x:v>Ísland</x:v>
      </x:c>
      <x:c r="H88" s="14" t="str">
        <x:v>Evra, skráð miðgengi.</x:v>
      </x:c>
    </x:row>
    <x:row r="89">
      <x:c r="A89" s="14" t="str">
        <x:v>gengi</x:v>
      </x:c>
      <x:c r="B89" s="14" t="str">
        <x:v>5/6/2024 12:00:00 AM</x:v>
      </x:c>
      <x:c r="C89" s="21" t="n">
        <x:v>150.3</x:v>
      </x:c>
      <x:c r="D89" s="14" t="str">
        <x:v>ISK/EUR</x:v>
      </x:c>
      <x:c r="E89" s="14" t="str">
        <x:v>SÍ 4064</x:v>
      </x:c>
      <x:c r="F89" s="14" t="str"/>
      <x:c r="G89" s="14" t="str">
        <x:v>Ísland</x:v>
      </x:c>
      <x:c r="H89" s="14" t="str">
        <x:v>Evra, skráð miðgengi.</x:v>
      </x:c>
    </x:row>
    <x:row r="90">
      <x:c r="A90" s="14" t="str">
        <x:v>gengi</x:v>
      </x:c>
      <x:c r="B90" s="14" t="str">
        <x:v>5/7/2024 12:00:00 AM</x:v>
      </x:c>
      <x:c r="C90" s="21" t="n">
        <x:v>150.3</x:v>
      </x:c>
      <x:c r="D90" s="14" t="str">
        <x:v>ISK/EUR</x:v>
      </x:c>
      <x:c r="E90" s="14" t="str">
        <x:v>SÍ 4064</x:v>
      </x:c>
      <x:c r="F90" s="14" t="str"/>
      <x:c r="G90" s="14" t="str">
        <x:v>Ísland</x:v>
      </x:c>
      <x:c r="H90" s="14" t="str">
        <x:v>Evra, skráð miðgengi.</x:v>
      </x:c>
    </x:row>
    <x:row r="91">
      <x:c r="A91" s="14" t="str">
        <x:v>gengi</x:v>
      </x:c>
      <x:c r="B91" s="14" t="str">
        <x:v>5/8/2024 12:00:00 AM</x:v>
      </x:c>
      <x:c r="C91" s="21" t="n">
        <x:v>150.1</x:v>
      </x:c>
      <x:c r="D91" s="14" t="str">
        <x:v>ISK/EUR</x:v>
      </x:c>
      <x:c r="E91" s="14" t="str">
        <x:v>SÍ 4064</x:v>
      </x:c>
      <x:c r="F91" s="14" t="str"/>
      <x:c r="G91" s="14" t="str">
        <x:v>Ísland</x:v>
      </x:c>
      <x:c r="H91" s="14" t="str">
        <x:v>Evra, skráð miðgengi.</x:v>
      </x:c>
    </x:row>
    <x:row r="92">
      <x:c r="A92" s="14" t="str">
        <x:v>gengi</x:v>
      </x:c>
      <x:c r="B92" s="14" t="str">
        <x:v>5/10/2024 12:00:00 AM</x:v>
      </x:c>
      <x:c r="C92" s="21" t="n">
        <x:v>150.3</x:v>
      </x:c>
      <x:c r="D92" s="14" t="str">
        <x:v>ISK/EUR</x:v>
      </x:c>
      <x:c r="E92" s="14" t="str">
        <x:v>SÍ 4064</x:v>
      </x:c>
      <x:c r="F92" s="14" t="str"/>
      <x:c r="G92" s="14" t="str">
        <x:v>Ísland</x:v>
      </x:c>
      <x:c r="H92" s="14" t="str">
        <x:v>Evra, skráð miðgengi.</x:v>
      </x:c>
    </x:row>
    <x:row r="93">
      <x:c r="A93" s="14" t="str">
        <x:v>gengi</x:v>
      </x:c>
      <x:c r="B93" s="14" t="str">
        <x:v>5/13/2024 12:00:00 AM</x:v>
      </x:c>
      <x:c r="C93" s="21" t="n">
        <x:v>150.3</x:v>
      </x:c>
      <x:c r="D93" s="14" t="str">
        <x:v>ISK/EUR</x:v>
      </x:c>
      <x:c r="E93" s="14" t="str">
        <x:v>SÍ 4064</x:v>
      </x:c>
      <x:c r="F93" s="14" t="str"/>
      <x:c r="G93" s="14" t="str">
        <x:v>Ísland</x:v>
      </x:c>
      <x:c r="H93" s="14" t="str">
        <x:v>Evra, skráð miðgengi.</x:v>
      </x:c>
    </x:row>
    <x:row r="94">
      <x:c r="A94" s="14" t="str">
        <x:v>gengi</x:v>
      </x:c>
      <x:c r="B94" s="14" t="str">
        <x:v>5/14/2024 12:00:00 AM</x:v>
      </x:c>
      <x:c r="C94" s="21" t="n">
        <x:v>150.5</x:v>
      </x:c>
      <x:c r="D94" s="14" t="str">
        <x:v>ISK/EUR</x:v>
      </x:c>
      <x:c r="E94" s="14" t="str">
        <x:v>SÍ 4064</x:v>
      </x:c>
      <x:c r="F94" s="14" t="str"/>
      <x:c r="G94" s="14" t="str">
        <x:v>Ísland</x:v>
      </x:c>
      <x:c r="H94" s="14" t="str">
        <x:v>Evra, skráð miðgengi.</x:v>
      </x:c>
    </x:row>
    <x:row r="95">
      <x:c r="A95" s="14" t="str">
        <x:v>gengi</x:v>
      </x:c>
      <x:c r="B95" s="14" t="str">
        <x:v>5/15/2024 12:00:00 AM</x:v>
      </x:c>
      <x:c r="C95" s="21" t="n">
        <x:v>150.3</x:v>
      </x:c>
      <x:c r="D95" s="14" t="str">
        <x:v>ISK/EUR</x:v>
      </x:c>
      <x:c r="E95" s="14" t="str">
        <x:v>SÍ 4064</x:v>
      </x:c>
      <x:c r="F95" s="14" t="str"/>
      <x:c r="G95" s="14" t="str">
        <x:v>Ísland</x:v>
      </x:c>
      <x:c r="H95" s="14" t="str">
        <x:v>Evra, skráð miðgengi.</x:v>
      </x:c>
    </x:row>
    <x:row r="96">
      <x:c r="A96" s="14" t="str">
        <x:v>gengi</x:v>
      </x:c>
      <x:c r="B96" s="14" t="str">
        <x:v>5/16/2024 12:00:00 AM</x:v>
      </x:c>
      <x:c r="C96" s="21" t="n">
        <x:v>150.3</x:v>
      </x:c>
      <x:c r="D96" s="14" t="str">
        <x:v>ISK/EUR</x:v>
      </x:c>
      <x:c r="E96" s="14" t="str">
        <x:v>SÍ 4064</x:v>
      </x:c>
      <x:c r="F96" s="14" t="str"/>
      <x:c r="G96" s="14" t="str">
        <x:v>Ísland</x:v>
      </x:c>
      <x:c r="H96" s="14" t="str">
        <x:v>Evra, skráð miðgengi.</x:v>
      </x:c>
    </x:row>
    <x:row r="97">
      <x:c r="A97" s="14" t="str">
        <x:v>gengi</x:v>
      </x:c>
      <x:c r="B97" s="14" t="str">
        <x:v>5/17/2024 12:00:00 AM</x:v>
      </x:c>
      <x:c r="C97" s="21" t="n">
        <x:v>150.3</x:v>
      </x:c>
      <x:c r="D97" s="14" t="str">
        <x:v>ISK/EUR</x:v>
      </x:c>
      <x:c r="E97" s="14" t="str">
        <x:v>SÍ 4064</x:v>
      </x:c>
      <x:c r="F97" s="14" t="str"/>
      <x:c r="G97" s="14" t="str">
        <x:v>Ísland</x:v>
      </x:c>
      <x:c r="H97" s="14" t="str">
        <x:v>Evra, skráð miðgengi.</x:v>
      </x:c>
    </x:row>
    <x:row r="98">
      <x:c r="A98" s="14" t="str">
        <x:v>gengi</x:v>
      </x:c>
      <x:c r="B98" s="14" t="str">
        <x:v>5/21/2024 12:00:00 AM</x:v>
      </x:c>
      <x:c r="C98" s="21" t="n">
        <x:v>150.1</x:v>
      </x:c>
      <x:c r="D98" s="14" t="str">
        <x:v>ISK/EUR</x:v>
      </x:c>
      <x:c r="E98" s="14" t="str">
        <x:v>SÍ 4064</x:v>
      </x:c>
      <x:c r="F98" s="14" t="str"/>
      <x:c r="G98" s="14" t="str">
        <x:v>Ísland</x:v>
      </x:c>
      <x:c r="H98" s="14" t="str">
        <x:v>Evra, skráð miðgengi.</x:v>
      </x:c>
    </x:row>
    <x:row r="99">
      <x:c r="A99" s="14" t="str">
        <x:v>gengi</x:v>
      </x:c>
      <x:c r="B99" s="14" t="str">
        <x:v>5/22/2024 12:00:00 AM</x:v>
      </x:c>
      <x:c r="C99" s="21" t="n">
        <x:v>150.1</x:v>
      </x:c>
      <x:c r="D99" s="14" t="str">
        <x:v>ISK/EUR</x:v>
      </x:c>
      <x:c r="E99" s="14" t="str">
        <x:v>SÍ 4064</x:v>
      </x:c>
      <x:c r="F99" s="14" t="str"/>
      <x:c r="G99" s="14" t="str">
        <x:v>Ísland</x:v>
      </x:c>
      <x:c r="H99" s="14" t="str">
        <x:v>Evra, skráð miðgengi.</x:v>
      </x:c>
    </x:row>
    <x:row r="100">
      <x:c r="A100" s="14" t="str">
        <x:v>gengi</x:v>
      </x:c>
      <x:c r="B100" s="14" t="str">
        <x:v>5/23/2024 12:00:00 AM</x:v>
      </x:c>
      <x:c r="C100" s="21" t="n">
        <x:v>150.07</x:v>
      </x:c>
      <x:c r="D100" s="14" t="str">
        <x:v>ISK/EUR</x:v>
      </x:c>
      <x:c r="E100" s="14" t="str">
        <x:v>SÍ 4064</x:v>
      </x:c>
      <x:c r="F100" s="14" t="str"/>
      <x:c r="G100" s="14" t="str">
        <x:v>Ísland</x:v>
      </x:c>
      <x:c r="H100" s="14" t="str">
        <x:v>Evra, skráð miðgengi.</x:v>
      </x:c>
    </x:row>
    <x:row r="101">
      <x:c r="A101" s="14" t="str">
        <x:v>gengi</x:v>
      </x:c>
      <x:c r="B101" s="14" t="str">
        <x:v>5/24/2024 12:00:00 AM</x:v>
      </x:c>
      <x:c r="C101" s="21" t="n">
        <x:v>149.9</x:v>
      </x:c>
      <x:c r="D101" s="14" t="str">
        <x:v>ISK/EUR</x:v>
      </x:c>
      <x:c r="E101" s="14" t="str">
        <x:v>SÍ 4064</x:v>
      </x:c>
      <x:c r="F101" s="14" t="str"/>
      <x:c r="G101" s="14" t="str">
        <x:v>Ísland</x:v>
      </x:c>
      <x:c r="H101" s="14" t="str">
        <x:v>Evra, skráð miðgengi.</x:v>
      </x:c>
    </x:row>
    <x:row r="102">
      <x:c r="A102" s="14" t="str">
        <x:v>gengi</x:v>
      </x:c>
      <x:c r="B102" s="14" t="str">
        <x:v>5/27/2024 12:00:00 AM</x:v>
      </x:c>
      <x:c r="C102" s="21" t="n">
        <x:v>149.7</x:v>
      </x:c>
      <x:c r="D102" s="14" t="str">
        <x:v>ISK/EUR</x:v>
      </x:c>
      <x:c r="E102" s="14" t="str">
        <x:v>SÍ 4064</x:v>
      </x:c>
      <x:c r="F102" s="14" t="str"/>
      <x:c r="G102" s="14" t="str">
        <x:v>Ísland</x:v>
      </x:c>
      <x:c r="H102" s="14" t="str">
        <x:v>Evra, skráð miðgengi.</x:v>
      </x:c>
    </x:row>
    <x:row r="103">
      <x:c r="A103" s="14" t="str">
        <x:v>gengi</x:v>
      </x:c>
      <x:c r="B103" s="14" t="str">
        <x:v>5/28/2024 12:00:00 AM</x:v>
      </x:c>
      <x:c r="C103" s="21" t="n">
        <x:v>149.3</x:v>
      </x:c>
      <x:c r="D103" s="14" t="str">
        <x:v>ISK/EUR</x:v>
      </x:c>
      <x:c r="E103" s="14" t="str">
        <x:v>SÍ 4064</x:v>
      </x:c>
      <x:c r="F103" s="14" t="str"/>
      <x:c r="G103" s="14" t="str">
        <x:v>Ísland</x:v>
      </x:c>
      <x:c r="H103" s="14" t="str">
        <x:v>Evra, skráð miðgengi.</x:v>
      </x:c>
    </x:row>
    <x:row r="104">
      <x:c r="A104" s="14" t="str">
        <x:v>gengi</x:v>
      </x:c>
      <x:c r="B104" s="14" t="str">
        <x:v>5/29/2024 12:00:00 AM</x:v>
      </x:c>
      <x:c r="C104" s="21" t="n">
        <x:v>149.1</x:v>
      </x:c>
      <x:c r="D104" s="14" t="str">
        <x:v>ISK/EUR</x:v>
      </x:c>
      <x:c r="E104" s="14" t="str">
        <x:v>SÍ 4064</x:v>
      </x:c>
      <x:c r="F104" s="14" t="str"/>
      <x:c r="G104" s="14" t="str">
        <x:v>Ísland</x:v>
      </x:c>
      <x:c r="H104" s="14" t="str">
        <x:v>Evra, skráð miðgengi.</x:v>
      </x:c>
    </x:row>
    <x:row r="105">
      <x:c r="A105" s="14" t="str">
        <x:v>gengi</x:v>
      </x:c>
      <x:c r="B105" s="14" t="str">
        <x:v>5/30/2024 12:00:00 AM</x:v>
      </x:c>
      <x:c r="C105" s="21" t="n">
        <x:v>148.9</x:v>
      </x:c>
      <x:c r="D105" s="14" t="str">
        <x:v>ISK/EUR</x:v>
      </x:c>
      <x:c r="E105" s="14" t="str">
        <x:v>SÍ 4064</x:v>
      </x:c>
      <x:c r="F105" s="14" t="str"/>
      <x:c r="G105" s="14" t="str">
        <x:v>Ísland</x:v>
      </x:c>
      <x:c r="H105" s="14" t="str">
        <x:v>Evra, skráð miðgengi.</x:v>
      </x:c>
    </x:row>
    <x:row r="106">
      <x:c r="A106" s="14" t="str">
        <x:v>gengi</x:v>
      </x:c>
      <x:c r="B106" s="14" t="str">
        <x:v>5/31/2024 12:00:00 AM</x:v>
      </x:c>
      <x:c r="C106" s="21" t="n">
        <x:v>149.1</x:v>
      </x:c>
      <x:c r="D106" s="14" t="str">
        <x:v>ISK/EUR</x:v>
      </x:c>
      <x:c r="E106" s="14" t="str">
        <x:v>SÍ 4064</x:v>
      </x:c>
      <x:c r="F106" s="14" t="str"/>
      <x:c r="G106" s="14" t="str">
        <x:v>Ísland</x:v>
      </x:c>
      <x:c r="H106" s="14" t="str">
        <x:v>Evra, skráð miðgengi.</x:v>
      </x:c>
    </x:row>
    <x:row r="107">
      <x:c r="A107" s="14" t="str">
        <x:v>gengi</x:v>
      </x:c>
      <x:c r="B107" s="14" t="str">
        <x:v>6/3/2024 12:00:00 AM</x:v>
      </x:c>
      <x:c r="C107" s="21" t="n">
        <x:v>149.5</x:v>
      </x:c>
      <x:c r="D107" s="14" t="str">
        <x:v>ISK/EUR</x:v>
      </x:c>
      <x:c r="E107" s="14" t="str">
        <x:v>SÍ 4064</x:v>
      </x:c>
      <x:c r="F107" s="14" t="str"/>
      <x:c r="G107" s="14" t="str">
        <x:v>Ísland</x:v>
      </x:c>
      <x:c r="H107" s="14" t="str">
        <x:v>Evra, skráð miðgengi.</x:v>
      </x:c>
    </x:row>
    <x:row r="108">
      <x:c r="A108" s="14" t="str">
        <x:v>gengi</x:v>
      </x:c>
      <x:c r="B108" s="14" t="str">
        <x:v>6/4/2024 12:00:00 AM</x:v>
      </x:c>
      <x:c r="C108" s="21" t="n">
        <x:v>149.9</x:v>
      </x:c>
      <x:c r="D108" s="14" t="str">
        <x:v>ISK/EUR</x:v>
      </x:c>
      <x:c r="E108" s="14" t="str">
        <x:v>SÍ 4064</x:v>
      </x:c>
      <x:c r="F108" s="14" t="str"/>
      <x:c r="G108" s="14" t="str">
        <x:v>Ísland</x:v>
      </x:c>
      <x:c r="H108" s="14" t="str">
        <x:v>Evra, skráð miðgengi.</x:v>
      </x:c>
    </x:row>
    <x:row r="109">
      <x:c r="A109" s="14" t="str">
        <x:v>gengi</x:v>
      </x:c>
      <x:c r="B109" s="14" t="str">
        <x:v>6/5/2024 12:00:00 AM</x:v>
      </x:c>
      <x:c r="C109" s="21" t="n">
        <x:v>149.5</x:v>
      </x:c>
      <x:c r="D109" s="14" t="str">
        <x:v>ISK/EUR</x:v>
      </x:c>
      <x:c r="E109" s="14" t="str">
        <x:v>SÍ 4064</x:v>
      </x:c>
      <x:c r="F109" s="14" t="str"/>
      <x:c r="G109" s="14" t="str">
        <x:v>Ísland</x:v>
      </x:c>
      <x:c r="H109" s="14" t="str">
        <x:v>Evra, skráð miðgengi.</x:v>
      </x:c>
    </x:row>
    <x:row r="110">
      <x:c r="A110" s="14" t="str">
        <x:v>gengi</x:v>
      </x:c>
      <x:c r="B110" s="14" t="str">
        <x:v>6/6/2024 12:00:00 AM</x:v>
      </x:c>
      <x:c r="C110" s="21" t="n">
        <x:v>149.7</x:v>
      </x:c>
      <x:c r="D110" s="14" t="str">
        <x:v>ISK/EUR</x:v>
      </x:c>
      <x:c r="E110" s="14" t="str">
        <x:v>SÍ 4064</x:v>
      </x:c>
      <x:c r="F110" s="14" t="str"/>
      <x:c r="G110" s="14" t="str">
        <x:v>Ísland</x:v>
      </x:c>
      <x:c r="H110" s="14" t="str">
        <x:v>Evra, skráð miðgengi.</x:v>
      </x:c>
    </x:row>
    <x:row r="111">
      <x:c r="A111" s="14" t="str">
        <x:v>gengi</x:v>
      </x:c>
      <x:c r="B111" s="14" t="str">
        <x:v>6/7/2024 12:00:00 AM</x:v>
      </x:c>
      <x:c r="C111" s="21" t="n">
        <x:v>149.9</x:v>
      </x:c>
      <x:c r="D111" s="14" t="str">
        <x:v>ISK/EUR</x:v>
      </x:c>
      <x:c r="E111" s="14" t="str">
        <x:v>SÍ 4064</x:v>
      </x:c>
      <x:c r="F111" s="14" t="str"/>
      <x:c r="G111" s="14" t="str">
        <x:v>Ísland</x:v>
      </x:c>
      <x:c r="H111" s="14" t="str">
        <x:v>Evra, skráð miðgengi.</x:v>
      </x:c>
    </x:row>
    <x:row r="112">
      <x:c r="A112" s="14" t="str">
        <x:v>gengi</x:v>
      </x:c>
      <x:c r="B112" s="14" t="str">
        <x:v>6/10/2024 12:00:00 AM</x:v>
      </x:c>
      <x:c r="C112" s="21" t="n">
        <x:v>149.7</x:v>
      </x:c>
      <x:c r="D112" s="14" t="str">
        <x:v>ISK/EUR</x:v>
      </x:c>
      <x:c r="E112" s="14" t="str">
        <x:v>SÍ 4064</x:v>
      </x:c>
      <x:c r="F112" s="14" t="str"/>
      <x:c r="G112" s="14" t="str">
        <x:v>Ísland</x:v>
      </x:c>
      <x:c r="H112" s="14" t="str">
        <x:v>Evra, skráð miðgengi.</x:v>
      </x:c>
    </x:row>
    <x:row r="113">
      <x:c r="A113" s="14" t="str">
        <x:v>gengi</x:v>
      </x:c>
      <x:c r="B113" s="14" t="str">
        <x:v>6/11/2024 12:00:00 AM</x:v>
      </x:c>
      <x:c r="C113" s="21" t="n">
        <x:v>149.5</x:v>
      </x:c>
      <x:c r="D113" s="14" t="str">
        <x:v>ISK/EUR</x:v>
      </x:c>
      <x:c r="E113" s="14" t="str">
        <x:v>SÍ 4064</x:v>
      </x:c>
      <x:c r="F113" s="14" t="str"/>
      <x:c r="G113" s="14" t="str">
        <x:v>Ísland</x:v>
      </x:c>
      <x:c r="H113" s="14" t="str">
        <x:v>Evra, skráð miðgengi.</x:v>
      </x:c>
    </x:row>
    <x:row r="114">
      <x:c r="A114" s="14" t="str">
        <x:v>gengi</x:v>
      </x:c>
      <x:c r="B114" s="14" t="str">
        <x:v>6/12/2024 12:00:00 AM</x:v>
      </x:c>
      <x:c r="C114" s="21" t="n">
        <x:v>149.5</x:v>
      </x:c>
      <x:c r="D114" s="14" t="str">
        <x:v>ISK/EUR</x:v>
      </x:c>
      <x:c r="E114" s="14" t="str">
        <x:v>SÍ 4064</x:v>
      </x:c>
      <x:c r="F114" s="14" t="str"/>
      <x:c r="G114" s="14" t="str">
        <x:v>Ísland</x:v>
      </x:c>
      <x:c r="H114" s="14" t="str">
        <x:v>Evra, skráð miðgengi.</x:v>
      </x:c>
    </x:row>
    <x:row r="115">
      <x:c r="A115" s="14" t="str">
        <x:v>gengi</x:v>
      </x:c>
      <x:c r="B115" s="14" t="str">
        <x:v>6/13/2024 12:00:00 AM</x:v>
      </x:c>
      <x:c r="C115" s="21" t="n">
        <x:v>149.3</x:v>
      </x:c>
      <x:c r="D115" s="14" t="str">
        <x:v>ISK/EUR</x:v>
      </x:c>
      <x:c r="E115" s="14" t="str">
        <x:v>SÍ 4064</x:v>
      </x:c>
      <x:c r="F115" s="14" t="str"/>
      <x:c r="G115" s="14" t="str">
        <x:v>Ísland</x:v>
      </x:c>
      <x:c r="H115" s="14" t="str">
        <x:v>Evra, skráð miðgengi.</x:v>
      </x:c>
    </x:row>
    <x:row r="116">
      <x:c r="A116" s="14" t="str">
        <x:v>gengi</x:v>
      </x:c>
      <x:c r="B116" s="14" t="str">
        <x:v>6/14/2024 12:00:00 AM</x:v>
      </x:c>
      <x:c r="C116" s="21" t="n">
        <x:v>149.1</x:v>
      </x:c>
      <x:c r="D116" s="14" t="str">
        <x:v>ISK/EUR</x:v>
      </x:c>
      <x:c r="E116" s="14" t="str">
        <x:v>SÍ 4064</x:v>
      </x:c>
      <x:c r="F116" s="14" t="str"/>
      <x:c r="G116" s="14" t="str">
        <x:v>Ísland</x:v>
      </x:c>
      <x:c r="H116" s="14" t="str">
        <x:v>Evra, skráð miðgengi.</x:v>
      </x:c>
    </x:row>
    <x:row r="117">
      <x:c r="A117" s="14" t="str">
        <x:v>gengi</x:v>
      </x:c>
      <x:c r="B117" s="14" t="str">
        <x:v>6/18/2024 12:00:00 AM</x:v>
      </x:c>
      <x:c r="C117" s="21" t="n">
        <x:v>149.3</x:v>
      </x:c>
      <x:c r="D117" s="14" t="str">
        <x:v>ISK/EUR</x:v>
      </x:c>
      <x:c r="E117" s="14" t="str">
        <x:v>SÍ 4064</x:v>
      </x:c>
      <x:c r="F117" s="14" t="str"/>
      <x:c r="G117" s="14" t="str">
        <x:v>Ísland</x:v>
      </x:c>
      <x:c r="H117" s="14" t="str">
        <x:v>Evra, skráð miðgengi.</x:v>
      </x:c>
    </x:row>
    <x:row r="118">
      <x:c r="A118" s="14" t="str">
        <x:v>gengi</x:v>
      </x:c>
      <x:c r="B118" s="14" t="str">
        <x:v>6/19/2024 12:00:00 AM</x:v>
      </x:c>
      <x:c r="C118" s="21" t="n">
        <x:v>149.3</x:v>
      </x:c>
      <x:c r="D118" s="14" t="str">
        <x:v>ISK/EUR</x:v>
      </x:c>
      <x:c r="E118" s="14" t="str">
        <x:v>SÍ 4064</x:v>
      </x:c>
      <x:c r="F118" s="14" t="str"/>
      <x:c r="G118" s="14" t="str">
        <x:v>Ísland</x:v>
      </x:c>
      <x:c r="H118" s="14" t="str">
        <x:v>Evra, skráð miðgengi.</x:v>
      </x:c>
    </x:row>
    <x:row r="119">
      <x:c r="A119" s="14" t="str">
        <x:v>gengi</x:v>
      </x:c>
      <x:c r="B119" s="14" t="str">
        <x:v>6/20/2024 12:00:00 AM</x:v>
      </x:c>
      <x:c r="C119" s="21" t="n">
        <x:v>149.1</x:v>
      </x:c>
      <x:c r="D119" s="14" t="str">
        <x:v>ISK/EUR</x:v>
      </x:c>
      <x:c r="E119" s="14" t="str">
        <x:v>SÍ 4064</x:v>
      </x:c>
      <x:c r="F119" s="14" t="str"/>
      <x:c r="G119" s="14" t="str">
        <x:v>Ísland</x:v>
      </x:c>
      <x:c r="H119" s="14" t="str">
        <x:v>Evra, skráð miðgengi.</x:v>
      </x:c>
    </x:row>
    <x:row r="120">
      <x:c r="A120" s="14" t="str">
        <x:v>gengi</x:v>
      </x:c>
      <x:c r="B120" s="14" t="str">
        <x:v>6/21/2024 12:00:00 AM</x:v>
      </x:c>
      <x:c r="C120" s="21" t="n">
        <x:v>149.1</x:v>
      </x:c>
      <x:c r="D120" s="14" t="str">
        <x:v>ISK/EUR</x:v>
      </x:c>
      <x:c r="E120" s="14" t="str">
        <x:v>SÍ 4064</x:v>
      </x:c>
      <x:c r="F120" s="14" t="str"/>
      <x:c r="G120" s="14" t="str">
        <x:v>Ísland</x:v>
      </x:c>
      <x:c r="H120" s="14" t="str">
        <x:v>Evra, skráð miðgengi.</x:v>
      </x:c>
    </x:row>
    <x:row r="121">
      <x:c r="A121" s="14" t="str">
        <x:v>gengi</x:v>
      </x:c>
      <x:c r="B121" s="14" t="str">
        <x:v>6/24/2024 12:00:00 AM</x:v>
      </x:c>
      <x:c r="C121" s="21" t="n">
        <x:v>149.1</x:v>
      </x:c>
      <x:c r="D121" s="14" t="str">
        <x:v>ISK/EUR</x:v>
      </x:c>
      <x:c r="E121" s="14" t="str">
        <x:v>SÍ 4064</x:v>
      </x:c>
      <x:c r="F121" s="14" t="str"/>
      <x:c r="G121" s="14" t="str">
        <x:v>Ísland</x:v>
      </x:c>
      <x:c r="H121" s="14" t="str">
        <x:v>Evra, skráð miðgengi.</x:v>
      </x:c>
    </x:row>
    <x:row r="122">
      <x:c r="A122" s="14" t="str">
        <x:v>gengi</x:v>
      </x:c>
      <x:c r="B122" s="14" t="str">
        <x:v>6/25/2024 12:00:00 AM</x:v>
      </x:c>
      <x:c r="C122" s="21" t="n">
        <x:v>149.1</x:v>
      </x:c>
      <x:c r="D122" s="14" t="str">
        <x:v>ISK/EUR</x:v>
      </x:c>
      <x:c r="E122" s="14" t="str">
        <x:v>SÍ 4064</x:v>
      </x:c>
      <x:c r="F122" s="14" t="str"/>
      <x:c r="G122" s="14" t="str">
        <x:v>Ísland</x:v>
      </x:c>
      <x:c r="H122" s="14" t="str">
        <x:v>Evra, skráð miðgengi.</x:v>
      </x:c>
    </x:row>
    <x:row r="123">
      <x:c r="A123" s="14" t="str">
        <x:v>gengi</x:v>
      </x:c>
      <x:c r="B123" s="14" t="str">
        <x:v>6/26/2024 12:00:00 AM</x:v>
      </x:c>
      <x:c r="C123" s="21" t="n">
        <x:v>149.1</x:v>
      </x:c>
      <x:c r="D123" s="14" t="str">
        <x:v>ISK/EUR</x:v>
      </x:c>
      <x:c r="E123" s="14" t="str">
        <x:v>SÍ 4064</x:v>
      </x:c>
      <x:c r="F123" s="14" t="str"/>
      <x:c r="G123" s="14" t="str">
        <x:v>Ísland</x:v>
      </x:c>
      <x:c r="H123" s="14" t="str">
        <x:v>Evra, skráð miðgengi.</x:v>
      </x:c>
    </x:row>
    <x:row r="124">
      <x:c r="A124" s="14" t="str">
        <x:v>gengi</x:v>
      </x:c>
      <x:c r="B124" s="14" t="str">
        <x:v>6/27/2024 12:00:00 AM</x:v>
      </x:c>
      <x:c r="C124" s="21" t="n">
        <x:v>148.9</x:v>
      </x:c>
      <x:c r="D124" s="14" t="str">
        <x:v>ISK/EUR</x:v>
      </x:c>
      <x:c r="E124" s="14" t="str">
        <x:v>SÍ 4064</x:v>
      </x:c>
      <x:c r="F124" s="14" t="str"/>
      <x:c r="G124" s="14" t="str">
        <x:v>Ísland</x:v>
      </x:c>
      <x:c r="H124" s="14" t="str">
        <x:v>Evra, skráð miðgengi.</x:v>
      </x:c>
    </x:row>
    <x:row r="125">
      <x:c r="A125" s="14" t="str">
        <x:v>gengi</x:v>
      </x:c>
      <x:c r="B125" s="14" t="str">
        <x:v>6/28/2024 12:00:00 AM</x:v>
      </x:c>
      <x:c r="C125" s="21" t="n">
        <x:v>148.9</x:v>
      </x:c>
      <x:c r="D125" s="14" t="str">
        <x:v>ISK/EUR</x:v>
      </x:c>
      <x:c r="E125" s="14" t="str">
        <x:v>SÍ 4064</x:v>
      </x:c>
      <x:c r="F125" s="14" t="str"/>
      <x:c r="G125" s="14" t="str">
        <x:v>Ísland</x:v>
      </x:c>
      <x:c r="H125" s="14" t="str">
        <x:v>Evra, skráð miðgengi.</x:v>
      </x:c>
    </x:row>
    <x:row r="126">
      <x:c r="A126" s="14" t="str">
        <x:v>gengi</x:v>
      </x:c>
      <x:c r="B126" s="14" t="str">
        <x:v>7/1/2024 12:00:00 AM</x:v>
      </x:c>
      <x:c r="C126" s="21" t="n">
        <x:v>148.9</x:v>
      </x:c>
      <x:c r="D126" s="14" t="str">
        <x:v>ISK/EUR</x:v>
      </x:c>
      <x:c r="E126" s="14" t="str">
        <x:v>SÍ 4064</x:v>
      </x:c>
      <x:c r="F126" s="14" t="str"/>
      <x:c r="G126" s="14" t="str">
        <x:v>Ísland</x:v>
      </x:c>
      <x:c r="H126" s="14" t="str">
        <x:v>Evra, skráð miðgengi.</x:v>
      </x:c>
    </x:row>
    <x:row r="127">
      <x:c r="A127" s="14" t="str">
        <x:v>gengi</x:v>
      </x:c>
      <x:c r="B127" s="14" t="str">
        <x:v>7/2/2024 12:00:00 AM</x:v>
      </x:c>
      <x:c r="C127" s="21" t="n">
        <x:v>149.3</x:v>
      </x:c>
      <x:c r="D127" s="14" t="str">
        <x:v>ISK/EUR</x:v>
      </x:c>
      <x:c r="E127" s="14" t="str">
        <x:v>SÍ 4064</x:v>
      </x:c>
      <x:c r="F127" s="14" t="str"/>
      <x:c r="G127" s="14" t="str">
        <x:v>Ísland</x:v>
      </x:c>
      <x:c r="H127" s="14" t="str">
        <x:v>Evra, skráð miðgengi.</x:v>
      </x:c>
    </x:row>
    <x:row r="128">
      <x:c r="A128" s="14" t="str">
        <x:v>gengi</x:v>
      </x:c>
      <x:c r="B128" s="14" t="str">
        <x:v>7/3/2024 12:00:00 AM</x:v>
      </x:c>
      <x:c r="C128" s="21" t="n">
        <x:v>149.1</x:v>
      </x:c>
      <x:c r="D128" s="14" t="str">
        <x:v>ISK/EUR</x:v>
      </x:c>
      <x:c r="E128" s="14" t="str">
        <x:v>SÍ 4064</x:v>
      </x:c>
      <x:c r="F128" s="14" t="str"/>
      <x:c r="G128" s="14" t="str">
        <x:v>Ísland</x:v>
      </x:c>
      <x:c r="H128" s="14" t="str">
        <x:v>Evra, skráð miðgengi.</x:v>
      </x:c>
    </x:row>
    <x:row r="129">
      <x:c r="A129" s="14" t="str">
        <x:v>gengi</x:v>
      </x:c>
      <x:c r="B129" s="14" t="str">
        <x:v>7/4/2024 12:00:00 AM</x:v>
      </x:c>
      <x:c r="C129" s="21" t="n">
        <x:v>149.1</x:v>
      </x:c>
      <x:c r="D129" s="14" t="str">
        <x:v>ISK/EUR</x:v>
      </x:c>
      <x:c r="E129" s="14" t="str">
        <x:v>SÍ 4064</x:v>
      </x:c>
      <x:c r="F129" s="14" t="str"/>
      <x:c r="G129" s="14" t="str">
        <x:v>Ísland</x:v>
      </x:c>
      <x:c r="H129" s="14" t="str">
        <x:v>Evra, skráð miðgengi.</x:v>
      </x:c>
    </x:row>
    <x:row r="130">
      <x:c r="A130" s="14" t="str">
        <x:v>gengi</x:v>
      </x:c>
      <x:c r="B130" s="14" t="str">
        <x:v>7/5/2024 12:00:00 AM</x:v>
      </x:c>
      <x:c r="C130" s="21" t="n">
        <x:v>149.3</x:v>
      </x:c>
      <x:c r="D130" s="14" t="str">
        <x:v>ISK/EUR</x:v>
      </x:c>
      <x:c r="E130" s="14" t="str">
        <x:v>SÍ 4064</x:v>
      </x:c>
      <x:c r="F130" s="14" t="str"/>
      <x:c r="G130" s="14" t="str">
        <x:v>Ísland</x:v>
      </x:c>
      <x:c r="H130" s="14" t="str">
        <x:v>Evra, skráð miðgengi.</x:v>
      </x:c>
    </x:row>
    <x:row r="131">
      <x:c r="A131" s="14" t="str">
        <x:v>gengi</x:v>
      </x:c>
      <x:c r="B131" s="14" t="str">
        <x:v>7/8/2024 12:00:00 AM</x:v>
      </x:c>
      <x:c r="C131" s="21" t="n">
        <x:v>149.3</x:v>
      </x:c>
      <x:c r="D131" s="14" t="str">
        <x:v>ISK/EUR</x:v>
      </x:c>
      <x:c r="E131" s="14" t="str">
        <x:v>SÍ 4064</x:v>
      </x:c>
      <x:c r="F131" s="14" t="str"/>
      <x:c r="G131" s="14" t="str">
        <x:v>Ísland</x:v>
      </x:c>
      <x:c r="H131" s="14" t="str">
        <x:v>Evra, skráð miðgengi.</x:v>
      </x:c>
    </x:row>
    <x:row r="132">
      <x:c r="A132" s="14" t="str">
        <x:v>gengi</x:v>
      </x:c>
      <x:c r="B132" s="14" t="str">
        <x:v>7/9/2024 12:00:00 AM</x:v>
      </x:c>
      <x:c r="C132" s="21" t="n">
        <x:v>149.1</x:v>
      </x:c>
      <x:c r="D132" s="14" t="str">
        <x:v>ISK/EUR</x:v>
      </x:c>
      <x:c r="E132" s="14" t="str">
        <x:v>SÍ 4064</x:v>
      </x:c>
      <x:c r="F132" s="14" t="str"/>
      <x:c r="G132" s="14" t="str">
        <x:v>Ísland</x:v>
      </x:c>
      <x:c r="H132" s="14" t="str">
        <x:v>Evra, skráð miðgengi.</x:v>
      </x:c>
    </x:row>
    <x:row r="133">
      <x:c r="A133" s="14" t="str">
        <x:v>gengi</x:v>
      </x:c>
      <x:c r="B133" s="14" t="str">
        <x:v>7/10/2024 12:00:00 AM</x:v>
      </x:c>
      <x:c r="C133" s="21" t="n">
        <x:v>149.1</x:v>
      </x:c>
      <x:c r="D133" s="14" t="str">
        <x:v>ISK/EUR</x:v>
      </x:c>
      <x:c r="E133" s="14" t="str">
        <x:v>SÍ 4064</x:v>
      </x:c>
      <x:c r="F133" s="14" t="str"/>
      <x:c r="G133" s="14" t="str">
        <x:v>Ísland</x:v>
      </x:c>
      <x:c r="H133" s="14" t="str">
        <x:v>Evra, skráð miðgengi.</x:v>
      </x:c>
    </x:row>
    <x:row r="134">
      <x:c r="A134" s="14" t="str">
        <x:v>gengi</x:v>
      </x:c>
      <x:c r="B134" s="14" t="str">
        <x:v>7/11/2024 12:00:00 AM</x:v>
      </x:c>
      <x:c r="C134" s="21" t="n">
        <x:v>149.3</x:v>
      </x:c>
      <x:c r="D134" s="14" t="str">
        <x:v>ISK/EUR</x:v>
      </x:c>
      <x:c r="E134" s="14" t="str">
        <x:v>SÍ 4064</x:v>
      </x:c>
      <x:c r="F134" s="14" t="str"/>
      <x:c r="G134" s="14" t="str">
        <x:v>Ísland</x:v>
      </x:c>
      <x:c r="H134" s="14" t="str">
        <x:v>Evra, skráð miðgengi.</x:v>
      </x:c>
    </x:row>
    <x:row r="135">
      <x:c r="A135" s="14" t="str">
        <x:v>gengi</x:v>
      </x:c>
      <x:c r="B135" s="14" t="str">
        <x:v>7/12/2024 12:00:00 AM</x:v>
      </x:c>
      <x:c r="C135" s="21" t="n">
        <x:v>149.3</x:v>
      </x:c>
      <x:c r="D135" s="14" t="str">
        <x:v>ISK/EUR</x:v>
      </x:c>
      <x:c r="E135" s="14" t="str">
        <x:v>SÍ 4064</x:v>
      </x:c>
      <x:c r="F135" s="14" t="str"/>
      <x:c r="G135" s="14" t="str">
        <x:v>Ísland</x:v>
      </x:c>
      <x:c r="H135" s="14" t="str">
        <x:v>Evra, skráð miðgengi.</x:v>
      </x:c>
    </x:row>
    <x:row r="136">
      <x:c r="A136" s="14" t="str">
        <x:v>gengi</x:v>
      </x:c>
      <x:c r="B136" s="14" t="str">
        <x:v>7/15/2024 12:00:00 AM</x:v>
      </x:c>
      <x:c r="C136" s="21" t="n">
        <x:v>149.3</x:v>
      </x:c>
      <x:c r="D136" s="14" t="str">
        <x:v>ISK/EUR</x:v>
      </x:c>
      <x:c r="E136" s="14" t="str">
        <x:v>SÍ 4064</x:v>
      </x:c>
      <x:c r="F136" s="14" t="str"/>
      <x:c r="G136" s="14" t="str">
        <x:v>Ísland</x:v>
      </x:c>
      <x:c r="H136" s="14" t="str">
        <x:v>Evra, skráð miðgengi.</x:v>
      </x:c>
    </x:row>
    <x:row r="137">
      <x:c r="A137" s="14" t="str">
        <x:v>gengi</x:v>
      </x:c>
      <x:c r="B137" s="14" t="str">
        <x:v>7/16/2024 12:00:00 AM</x:v>
      </x:c>
      <x:c r="C137" s="21" t="n">
        <x:v>149.3</x:v>
      </x:c>
      <x:c r="D137" s="14" t="str">
        <x:v>ISK/EUR</x:v>
      </x:c>
      <x:c r="E137" s="14" t="str">
        <x:v>SÍ 4064</x:v>
      </x:c>
      <x:c r="F137" s="14" t="str"/>
      <x:c r="G137" s="14" t="str">
        <x:v>Ísland</x:v>
      </x:c>
      <x:c r="H137" s="14" t="str">
        <x:v>Evra, skráð miðgengi.</x:v>
      </x:c>
    </x:row>
    <x:row r="138">
      <x:c r="A138" s="14" t="str">
        <x:v>gengi</x:v>
      </x:c>
      <x:c r="B138" s="14" t="str">
        <x:v>7/17/2024 12:00:00 AM</x:v>
      </x:c>
      <x:c r="C138" s="21" t="n">
        <x:v>149.3</x:v>
      </x:c>
      <x:c r="D138" s="14" t="str">
        <x:v>ISK/EUR</x:v>
      </x:c>
      <x:c r="E138" s="14" t="str">
        <x:v>SÍ 4064</x:v>
      </x:c>
      <x:c r="F138" s="14" t="str"/>
      <x:c r="G138" s="14" t="str">
        <x:v>Ísland</x:v>
      </x:c>
      <x:c r="H138" s="14" t="str">
        <x:v>Evra, skráð miðgengi.</x:v>
      </x:c>
    </x:row>
    <x:row r="139">
      <x:c r="A139" s="14" t="str">
        <x:v>gengi</x:v>
      </x:c>
      <x:c r="B139" s="14" t="str">
        <x:v>7/18/2024 12:00:00 AM</x:v>
      </x:c>
      <x:c r="C139" s="21" t="n">
        <x:v>149.5</x:v>
      </x:c>
      <x:c r="D139" s="14" t="str">
        <x:v>ISK/EUR</x:v>
      </x:c>
      <x:c r="E139" s="14" t="str">
        <x:v>SÍ 4064</x:v>
      </x:c>
      <x:c r="F139" s="14" t="str"/>
      <x:c r="G139" s="14" t="str">
        <x:v>Ísland</x:v>
      </x:c>
      <x:c r="H139" s="14" t="str">
        <x:v>Evra, skráð miðgengi.</x:v>
      </x:c>
    </x:row>
    <x:row r="140">
      <x:c r="A140" s="14" t="str">
        <x:v>gengi</x:v>
      </x:c>
      <x:c r="B140" s="14" t="str">
        <x:v>7/19/2024 12:00:00 AM</x:v>
      </x:c>
      <x:c r="C140" s="21" t="n">
        <x:v>149.7</x:v>
      </x:c>
      <x:c r="D140" s="14" t="str">
        <x:v>ISK/EUR</x:v>
      </x:c>
      <x:c r="E140" s="14" t="str">
        <x:v>SÍ 4064</x:v>
      </x:c>
      <x:c r="F140" s="14" t="str"/>
      <x:c r="G140" s="14" t="str">
        <x:v>Ísland</x:v>
      </x:c>
      <x:c r="H140" s="14" t="str">
        <x:v>Evra, skráð miðgengi.</x:v>
      </x:c>
    </x:row>
    <x:row r="141">
      <x:c r="A141" s="14" t="str">
        <x:v>gengi</x:v>
      </x:c>
      <x:c r="B141" s="14" t="str">
        <x:v>7/22/2024 12:00:00 AM</x:v>
      </x:c>
      <x:c r="C141" s="21" t="n">
        <x:v>150.1</x:v>
      </x:c>
      <x:c r="D141" s="14" t="str">
        <x:v>ISK/EUR</x:v>
      </x:c>
      <x:c r="E141" s="14" t="str">
        <x:v>SÍ 4064</x:v>
      </x:c>
      <x:c r="F141" s="14" t="str"/>
      <x:c r="G141" s="14" t="str">
        <x:v>Ísland</x:v>
      </x:c>
      <x:c r="H141" s="14" t="str">
        <x:v>Evra, skráð miðgengi.</x:v>
      </x:c>
    </x:row>
    <x:row r="142">
      <x:c r="A142" s="14" t="str">
        <x:v>gengi</x:v>
      </x:c>
      <x:c r="B142" s="14" t="str">
        <x:v>7/23/2024 12:00:00 AM</x:v>
      </x:c>
      <x:c r="C142" s="21" t="n">
        <x:v>149.7</x:v>
      </x:c>
      <x:c r="D142" s="14" t="str">
        <x:v>ISK/EUR</x:v>
      </x:c>
      <x:c r="E142" s="14" t="str">
        <x:v>SÍ 4064</x:v>
      </x:c>
      <x:c r="F142" s="14" t="str"/>
      <x:c r="G142" s="14" t="str">
        <x:v>Ísland</x:v>
      </x:c>
      <x:c r="H142" s="14" t="str">
        <x:v>Evra, skráð miðgengi.</x:v>
      </x:c>
    </x:row>
    <x:row r="143">
      <x:c r="A143" s="14" t="str">
        <x:v>gengi</x:v>
      </x:c>
      <x:c r="B143" s="14" t="str">
        <x:v>7/24/2024 12:00:00 AM</x:v>
      </x:c>
      <x:c r="C143" s="21" t="n">
        <x:v>149.7</x:v>
      </x:c>
      <x:c r="D143" s="14" t="str">
        <x:v>ISK/EUR</x:v>
      </x:c>
      <x:c r="E143" s="14" t="str">
        <x:v>SÍ 4064</x:v>
      </x:c>
      <x:c r="F143" s="14" t="str"/>
      <x:c r="G143" s="14" t="str">
        <x:v>Ísland</x:v>
      </x:c>
      <x:c r="H143" s="14" t="str">
        <x:v>Evra, skráð miðgengi.</x:v>
      </x:c>
    </x:row>
    <x:row r="144">
      <x:c r="A144" s="14" t="str">
        <x:v>gengi</x:v>
      </x:c>
      <x:c r="B144" s="14" t="str">
        <x:v>7/25/2024 12:00:00 AM</x:v>
      </x:c>
      <x:c r="C144" s="21" t="n">
        <x:v>149.5</x:v>
      </x:c>
      <x:c r="D144" s="14" t="str">
        <x:v>ISK/EUR</x:v>
      </x:c>
      <x:c r="E144" s="14" t="str">
        <x:v>SÍ 4064</x:v>
      </x:c>
      <x:c r="F144" s="14" t="str"/>
      <x:c r="G144" s="14" t="str">
        <x:v>Ísland</x:v>
      </x:c>
      <x:c r="H144" s="14" t="str">
        <x:v>Evra, skráð miðgengi.</x:v>
      </x:c>
    </x:row>
    <x:row r="145">
      <x:c r="A145" s="14" t="str">
        <x:v>gengi</x:v>
      </x:c>
      <x:c r="B145" s="14" t="str">
        <x:v>7/26/2024 12:00:00 AM</x:v>
      </x:c>
      <x:c r="C145" s="21" t="n">
        <x:v>149.9</x:v>
      </x:c>
      <x:c r="D145" s="14" t="str">
        <x:v>ISK/EUR</x:v>
      </x:c>
      <x:c r="E145" s="14" t="str">
        <x:v>SÍ 4064</x:v>
      </x:c>
      <x:c r="F145" s="14" t="str"/>
      <x:c r="G145" s="14" t="str">
        <x:v>Ísland</x:v>
      </x:c>
      <x:c r="H145" s="14" t="str">
        <x:v>Evra, skráð miðgengi.</x:v>
      </x:c>
    </x:row>
    <x:row r="146">
      <x:c r="A146" s="14" t="str">
        <x:v>gengi</x:v>
      </x:c>
      <x:c r="B146" s="14" t="str">
        <x:v>7/29/2024 12:00:00 AM</x:v>
      </x:c>
      <x:c r="C146" s="21" t="n">
        <x:v>149.9</x:v>
      </x:c>
      <x:c r="D146" s="14" t="str">
        <x:v>ISK/EUR</x:v>
      </x:c>
      <x:c r="E146" s="14" t="str">
        <x:v>SÍ 4064</x:v>
      </x:c>
      <x:c r="F146" s="14" t="str"/>
      <x:c r="G146" s="14" t="str">
        <x:v>Ísland</x:v>
      </x:c>
      <x:c r="H146" s="14" t="str">
        <x:v>Evra, skráð miðgengi.</x:v>
      </x:c>
    </x:row>
    <x:row r="147">
      <x:c r="A147" s="14" t="str">
        <x:v>gengi</x:v>
      </x:c>
      <x:c r="B147" s="14" t="str">
        <x:v>7/30/2024 12:00:00 AM</x:v>
      </x:c>
      <x:c r="C147" s="21" t="n">
        <x:v>149.5</x:v>
      </x:c>
      <x:c r="D147" s="14" t="str">
        <x:v>ISK/EUR</x:v>
      </x:c>
      <x:c r="E147" s="14" t="str">
        <x:v>SÍ 4064</x:v>
      </x:c>
      <x:c r="F147" s="14" t="str"/>
      <x:c r="G147" s="14" t="str">
        <x:v>Ísland</x:v>
      </x:c>
      <x:c r="H147" s="14" t="str">
        <x:v>Evra, skráð miðgengi.</x:v>
      </x:c>
    </x:row>
    <x:row r="148">
      <x:c r="A148" s="14" t="str">
        <x:v>gengi</x:v>
      </x:c>
      <x:c r="B148" s="14" t="str">
        <x:v>7/31/2024 12:00:00 AM</x:v>
      </x:c>
      <x:c r="C148" s="21" t="n">
        <x:v>149.9</x:v>
      </x:c>
      <x:c r="D148" s="14" t="str">
        <x:v>ISK/EUR</x:v>
      </x:c>
      <x:c r="E148" s="14" t="str">
        <x:v>SÍ 4064</x:v>
      </x:c>
      <x:c r="F148" s="14" t="str"/>
      <x:c r="G148" s="14" t="str">
        <x:v>Ísland</x:v>
      </x:c>
      <x:c r="H148" s="14" t="str">
        <x:v>Evra, skráð miðgengi.</x:v>
      </x:c>
    </x:row>
    <x:row r="149">
      <x:c r="A149" s="14" t="str">
        <x:v>gengi</x:v>
      </x:c>
      <x:c r="B149" s="14" t="str">
        <x:v>8/1/2024 12:00:00 AM</x:v>
      </x:c>
      <x:c r="C149" s="21" t="n">
        <x:v>149.9</x:v>
      </x:c>
      <x:c r="D149" s="14" t="str">
        <x:v>ISK/EUR</x:v>
      </x:c>
      <x:c r="E149" s="14" t="str">
        <x:v>SÍ 4064</x:v>
      </x:c>
      <x:c r="F149" s="14" t="str"/>
      <x:c r="G149" s="14" t="str">
        <x:v>Ísland</x:v>
      </x:c>
      <x:c r="H149" s="14" t="str">
        <x:v>Evra, skráð miðgengi.</x:v>
      </x:c>
    </x:row>
    <x:row r="150">
      <x:c r="A150" s="14" t="str">
        <x:v>gengi</x:v>
      </x:c>
      <x:c r="B150" s="14" t="str">
        <x:v>8/2/2024 12:00:00 AM</x:v>
      </x:c>
      <x:c r="C150" s="21" t="n">
        <x:v>150.5</x:v>
      </x:c>
      <x:c r="D150" s="14" t="str">
        <x:v>ISK/EUR</x:v>
      </x:c>
      <x:c r="E150" s="14" t="str">
        <x:v>SÍ 4064</x:v>
      </x:c>
      <x:c r="F150" s="14" t="str"/>
      <x:c r="G150" s="14" t="str">
        <x:v>Ísland</x:v>
      </x:c>
      <x:c r="H150" s="14" t="str">
        <x:v>Evra, skráð miðgengi.</x:v>
      </x:c>
    </x:row>
    <x:row r="151">
      <x:c r="A151" s="14" t="str">
        <x:v>gengi</x:v>
      </x:c>
      <x:c r="B151" s="14" t="str">
        <x:v>8/6/2024 12:00:00 AM</x:v>
      </x:c>
      <x:c r="C151" s="21" t="n">
        <x:v>150.7</x:v>
      </x:c>
      <x:c r="D151" s="14" t="str">
        <x:v>ISK/EUR</x:v>
      </x:c>
      <x:c r="E151" s="14" t="str">
        <x:v>SÍ 4064</x:v>
      </x:c>
      <x:c r="F151" s="14" t="str"/>
      <x:c r="G151" s="14" t="str">
        <x:v>Ísland</x:v>
      </x:c>
      <x:c r="H151" s="14" t="str">
        <x:v>Evra, skráð miðgengi.</x:v>
      </x:c>
    </x:row>
    <x:row r="152">
      <x:c r="A152" s="14" t="str">
        <x:v>gengi</x:v>
      </x:c>
      <x:c r="B152" s="14" t="str">
        <x:v>8/7/2024 12:00:00 AM</x:v>
      </x:c>
      <x:c r="C152" s="21" t="n">
        <x:v>150.9</x:v>
      </x:c>
      <x:c r="D152" s="14" t="str">
        <x:v>ISK/EUR</x:v>
      </x:c>
      <x:c r="E152" s="14" t="str">
        <x:v>SÍ 4064</x:v>
      </x:c>
      <x:c r="F152" s="14" t="str"/>
      <x:c r="G152" s="14" t="str">
        <x:v>Ísland</x:v>
      </x:c>
      <x:c r="H152" s="14" t="str">
        <x:v>Evra, skráð miðgengi.</x:v>
      </x:c>
    </x:row>
    <x:row r="153">
      <x:c r="A153" s="14" t="str">
        <x:v>gengi</x:v>
      </x:c>
      <x:c r="B153" s="14" t="str">
        <x:v>8/8/2024 12:00:00 AM</x:v>
      </x:c>
      <x:c r="C153" s="21" t="n">
        <x:v>151.1</x:v>
      </x:c>
      <x:c r="D153" s="14" t="str">
        <x:v>ISK/EUR</x:v>
      </x:c>
      <x:c r="E153" s="14" t="str">
        <x:v>SÍ 4064</x:v>
      </x:c>
      <x:c r="F153" s="14" t="str"/>
      <x:c r="G153" s="14" t="str">
        <x:v>Ísland</x:v>
      </x:c>
      <x:c r="H153" s="14" t="str">
        <x:v>Evra, skráð miðgengi.</x:v>
      </x:c>
    </x:row>
    <x:row r="154">
      <x:c r="A154" s="14" t="str">
        <x:v>gengi</x:v>
      </x:c>
      <x:c r="B154" s="14" t="str">
        <x:v>8/9/2024 12:00:00 AM</x:v>
      </x:c>
      <x:c r="C154" s="21" t="n">
        <x:v>151.1</x:v>
      </x:c>
      <x:c r="D154" s="14" t="str">
        <x:v>ISK/EUR</x:v>
      </x:c>
      <x:c r="E154" s="14" t="str">
        <x:v>SÍ 4064</x:v>
      </x:c>
      <x:c r="F154" s="14" t="str"/>
      <x:c r="G154" s="14" t="str">
        <x:v>Ísland</x:v>
      </x:c>
      <x:c r="H154" s="14" t="str">
        <x:v>Evra, skráð miðgengi.</x:v>
      </x:c>
    </x:row>
    <x:row r="155">
      <x:c r="A155" s="14" t="str">
        <x:v>gengi</x:v>
      </x:c>
      <x:c r="B155" s="14" t="str">
        <x:v>8/12/2024 12:00:00 AM</x:v>
      </x:c>
      <x:c r="C155" s="21" t="n">
        <x:v>151.1</x:v>
      </x:c>
      <x:c r="D155" s="14" t="str">
        <x:v>ISK/EUR</x:v>
      </x:c>
      <x:c r="E155" s="14" t="str">
        <x:v>SÍ 4064</x:v>
      </x:c>
      <x:c r="F155" s="14" t="str"/>
      <x:c r="G155" s="14" t="str">
        <x:v>Ísland</x:v>
      </x:c>
      <x:c r="H155" s="14" t="str">
        <x:v>Evra, skráð miðgengi.</x:v>
      </x:c>
    </x:row>
    <x:row r="156">
      <x:c r="A156" s="14" t="str">
        <x:v>gengi</x:v>
      </x:c>
      <x:c r="B156" s="14" t="str">
        <x:v>8/13/2024 12:00:00 AM</x:v>
      </x:c>
      <x:c r="C156" s="21" t="n">
        <x:v>151.1</x:v>
      </x:c>
      <x:c r="D156" s="14" t="str">
        <x:v>ISK/EUR</x:v>
      </x:c>
      <x:c r="E156" s="14" t="str">
        <x:v>SÍ 4064</x:v>
      </x:c>
      <x:c r="F156" s="14" t="str"/>
      <x:c r="G156" s="14" t="str">
        <x:v>Ísland</x:v>
      </x:c>
      <x:c r="H156" s="14" t="str">
        <x:v>Evra, skráð miðgengi.</x:v>
      </x:c>
    </x:row>
    <x:row r="157">
      <x:c r="A157" s="14" t="str">
        <x:v>gengi</x:v>
      </x:c>
      <x:c r="B157" s="14" t="str">
        <x:v>8/14/2024 12:00:00 AM</x:v>
      </x:c>
      <x:c r="C157" s="21" t="n">
        <x:v>152.1</x:v>
      </x:c>
      <x:c r="D157" s="14" t="str">
        <x:v>ISK/EUR</x:v>
      </x:c>
      <x:c r="E157" s="14" t="str">
        <x:v>SÍ 4064</x:v>
      </x:c>
      <x:c r="F157" s="14" t="str"/>
      <x:c r="G157" s="14" t="str">
        <x:v>Ísland</x:v>
      </x:c>
      <x:c r="H157" s="14" t="str">
        <x:v>Evra, skráð miðgengi.</x:v>
      </x:c>
    </x:row>
    <x:row r="158">
      <x:c r="A158" s="14" t="str">
        <x:v>gengi</x:v>
      </x:c>
      <x:c r="B158" s="14" t="str">
        <x:v>8/15/2024 12:00:00 AM</x:v>
      </x:c>
      <x:c r="C158" s="21" t="n">
        <x:v>152.1</x:v>
      </x:c>
      <x:c r="D158" s="14" t="str">
        <x:v>ISK/EUR</x:v>
      </x:c>
      <x:c r="E158" s="14" t="str">
        <x:v>SÍ 4064</x:v>
      </x:c>
      <x:c r="F158" s="14" t="str"/>
      <x:c r="G158" s="14" t="str">
        <x:v>Ísland</x:v>
      </x:c>
      <x:c r="H158" s="14" t="str">
        <x:v>Evra, skráð miðgengi.</x:v>
      </x:c>
    </x:row>
    <x:row r="159">
      <x:c r="A159" s="14" t="str">
        <x:v>gengi</x:v>
      </x:c>
      <x:c r="B159" s="14" t="str">
        <x:v>8/16/2024 12:00:00 AM</x:v>
      </x:c>
      <x:c r="C159" s="21" t="n">
        <x:v>152.9</x:v>
      </x:c>
      <x:c r="D159" s="14" t="str">
        <x:v>ISK/EUR</x:v>
      </x:c>
      <x:c r="E159" s="14" t="str">
        <x:v>SÍ 4064</x:v>
      </x:c>
      <x:c r="F159" s="14" t="str"/>
      <x:c r="G159" s="14" t="str">
        <x:v>Ísland</x:v>
      </x:c>
      <x:c r="H159" s="14" t="str">
        <x:v>Evra, skráð miðgengi.</x:v>
      </x:c>
    </x:row>
    <x:row r="160">
      <x:c r="A160" s="14" t="str">
        <x:v>gengi</x:v>
      </x:c>
      <x:c r="B160" s="14" t="str">
        <x:v>8/19/2024 12:00:00 AM</x:v>
      </x:c>
      <x:c r="C160" s="21" t="n">
        <x:v>151.9</x:v>
      </x:c>
      <x:c r="D160" s="14" t="str">
        <x:v>ISK/EUR</x:v>
      </x:c>
      <x:c r="E160" s="14" t="str">
        <x:v>SÍ 4064</x:v>
      </x:c>
      <x:c r="F160" s="14" t="str"/>
      <x:c r="G160" s="14" t="str">
        <x:v>Ísland</x:v>
      </x:c>
      <x:c r="H160" s="14" t="str">
        <x:v>Evra, skráð miðgengi.</x:v>
      </x:c>
    </x:row>
    <x:row r="161">
      <x:c r="A161" s="14" t="str">
        <x:v>gengi</x:v>
      </x:c>
      <x:c r="B161" s="14" t="str">
        <x:v>8/20/2024 12:00:00 AM</x:v>
      </x:c>
      <x:c r="C161" s="21" t="n">
        <x:v>152.1</x:v>
      </x:c>
      <x:c r="D161" s="14" t="str">
        <x:v>ISK/EUR</x:v>
      </x:c>
      <x:c r="E161" s="14" t="str">
        <x:v>SÍ 4064</x:v>
      </x:c>
      <x:c r="F161" s="14" t="str"/>
      <x:c r="G161" s="14" t="str">
        <x:v>Ísland</x:v>
      </x:c>
      <x:c r="H161" s="14" t="str">
        <x:v>Evra, skráð miðgengi.</x:v>
      </x:c>
    </x:row>
    <x:row r="162">
      <x:c r="A162" s="14" t="str">
        <x:v>gengi</x:v>
      </x:c>
      <x:c r="B162" s="14" t="str">
        <x:v>8/21/2024 12:00:00 AM</x:v>
      </x:c>
      <x:c r="C162" s="21" t="n">
        <x:v>152.7</x:v>
      </x:c>
      <x:c r="D162" s="14" t="str">
        <x:v>ISK/EUR</x:v>
      </x:c>
      <x:c r="E162" s="14" t="str">
        <x:v>SÍ 4064</x:v>
      </x:c>
      <x:c r="F162" s="14" t="str"/>
      <x:c r="G162" s="14" t="str">
        <x:v>Ísland</x:v>
      </x:c>
      <x:c r="H162" s="14" t="str">
        <x:v>Evra, skráð miðgengi.</x:v>
      </x:c>
    </x:row>
    <x:row r="163">
      <x:c r="A163" s="14" t="str">
        <x:v>gengi</x:v>
      </x:c>
      <x:c r="B163" s="14" t="str">
        <x:v>8/22/2024 12:00:00 AM</x:v>
      </x:c>
      <x:c r="C163" s="21" t="n">
        <x:v>152.3</x:v>
      </x:c>
      <x:c r="D163" s="14" t="str">
        <x:v>ISK/EUR</x:v>
      </x:c>
      <x:c r="E163" s="14" t="str">
        <x:v>SÍ 4064</x:v>
      </x:c>
      <x:c r="F163" s="14" t="str"/>
      <x:c r="G163" s="14" t="str">
        <x:v>Ísland</x:v>
      </x:c>
      <x:c r="H163" s="14" t="str">
        <x:v>Evra, skráð miðgengi.</x:v>
      </x:c>
    </x:row>
    <x:row r="164">
      <x:c r="A164" s="14" t="str">
        <x:v>gengi</x:v>
      </x:c>
      <x:c r="B164" s="14" t="str">
        <x:v>8/23/2024 12:00:00 AM</x:v>
      </x:c>
      <x:c r="C164" s="21" t="n">
        <x:v>152.3</x:v>
      </x:c>
      <x:c r="D164" s="14" t="str">
        <x:v>ISK/EUR</x:v>
      </x:c>
      <x:c r="E164" s="14" t="str">
        <x:v>SÍ 4064</x:v>
      </x:c>
      <x:c r="F164" s="14" t="str"/>
      <x:c r="G164" s="14" t="str">
        <x:v>Ísland</x:v>
      </x:c>
      <x:c r="H164" s="14" t="str">
        <x:v>Evra, skráð miðgengi.</x:v>
      </x:c>
    </x:row>
    <x:row r="165">
      <x:c r="A165" s="14" t="str">
        <x:v>gengi</x:v>
      </x:c>
      <x:c r="B165" s="14" t="str">
        <x:v>8/26/2024 12:00:00 AM</x:v>
      </x:c>
      <x:c r="C165" s="21" t="n">
        <x:v>153.1</x:v>
      </x:c>
      <x:c r="D165" s="14" t="str">
        <x:v>ISK/EUR</x:v>
      </x:c>
      <x:c r="E165" s="14" t="str">
        <x:v>SÍ 4064</x:v>
      </x:c>
      <x:c r="F165" s="14" t="str"/>
      <x:c r="G165" s="14" t="str">
        <x:v>Ísland</x:v>
      </x:c>
      <x:c r="H165" s="14" t="str">
        <x:v>Evra, skráð miðgengi.</x:v>
      </x:c>
    </x:row>
    <x:row r="166">
      <x:c r="A166" s="14" t="str">
        <x:v>gengi</x:v>
      </x:c>
      <x:c r="B166" s="14" t="str">
        <x:v>8/27/2024 12:00:00 AM</x:v>
      </x:c>
      <x:c r="C166" s="21" t="n">
        <x:v>153.1</x:v>
      </x:c>
      <x:c r="D166" s="14" t="str">
        <x:v>ISK/EUR</x:v>
      </x:c>
      <x:c r="E166" s="14" t="str">
        <x:v>SÍ 4064</x:v>
      </x:c>
      <x:c r="F166" s="14" t="str"/>
      <x:c r="G166" s="14" t="str">
        <x:v>Ísland</x:v>
      </x:c>
      <x:c r="H166" s="14" t="str">
        <x:v>Evra, skráð miðgengi.</x:v>
      </x:c>
    </x:row>
    <x:row r="167">
      <x:c r="A167" s="14" t="str">
        <x:v>gengi</x:v>
      </x:c>
      <x:c r="B167" s="14" t="str">
        <x:v>8/28/2024 12:00:00 AM</x:v>
      </x:c>
      <x:c r="C167" s="21" t="n">
        <x:v>153.1</x:v>
      </x:c>
      <x:c r="D167" s="14" t="str">
        <x:v>ISK/EUR</x:v>
      </x:c>
      <x:c r="E167" s="14" t="str">
        <x:v>SÍ 4064</x:v>
      </x:c>
      <x:c r="F167" s="14" t="str"/>
      <x:c r="G167" s="14" t="str">
        <x:v>Ísland</x:v>
      </x:c>
      <x:c r="H167" s="14" t="str">
        <x:v>Evra, skráð miðgengi.</x:v>
      </x:c>
    </x:row>
    <x:row r="168">
      <x:c r="A168" s="14" t="str">
        <x:v>gengi</x:v>
      </x:c>
      <x:c r="B168" s="14" t="str">
        <x:v>8/29/2024 12:00:00 AM</x:v>
      </x:c>
      <x:c r="C168" s="21" t="n">
        <x:v>152.9</x:v>
      </x:c>
      <x:c r="D168" s="14" t="str">
        <x:v>ISK/EUR</x:v>
      </x:c>
      <x:c r="E168" s="14" t="str">
        <x:v>SÍ 4064</x:v>
      </x:c>
      <x:c r="F168" s="14" t="str"/>
      <x:c r="G168" s="14" t="str">
        <x:v>Ísland</x:v>
      </x:c>
      <x:c r="H168" s="14" t="str">
        <x:v>Evra, skráð miðgengi.</x:v>
      </x:c>
    </x:row>
    <x:row r="169">
      <x:c r="A169" s="14" t="str">
        <x:v>gengi</x:v>
      </x:c>
      <x:c r="B169" s="14" t="str">
        <x:v>8/30/2024 12:00:00 AM</x:v>
      </x:c>
      <x:c r="C169" s="21" t="n">
        <x:v>152.9</x:v>
      </x:c>
      <x:c r="D169" s="14" t="str">
        <x:v>ISK/EUR</x:v>
      </x:c>
      <x:c r="E169" s="14" t="str">
        <x:v>SÍ 4064</x:v>
      </x:c>
      <x:c r="F169" s="14" t="str"/>
      <x:c r="G169" s="14" t="str">
        <x:v>Ísland</x:v>
      </x:c>
      <x:c r="H169" s="14" t="str">
        <x:v>Evra, skráð miðgengi.</x:v>
      </x:c>
    </x:row>
    <x:row r="170">
      <x:c r="A170" s="14" t="str">
        <x:v>gengi</x:v>
      </x:c>
      <x:c r="B170" s="14" t="str">
        <x:v>9/2/2024 12:00:00 AM</x:v>
      </x:c>
      <x:c r="C170" s="21" t="n">
        <x:v>153.1</x:v>
      </x:c>
      <x:c r="D170" s="14" t="str">
        <x:v>ISK/EUR</x:v>
      </x:c>
      <x:c r="E170" s="14" t="str">
        <x:v>SÍ 4064</x:v>
      </x:c>
      <x:c r="F170" s="14" t="str"/>
      <x:c r="G170" s="14" t="str">
        <x:v>Ísland</x:v>
      </x:c>
      <x:c r="H170" s="14" t="str">
        <x:v>Evra, skráð miðgengi.</x:v>
      </x:c>
    </x:row>
    <x:row r="171">
      <x:c r="A171" s="14" t="str">
        <x:v>gengi</x:v>
      </x:c>
      <x:c r="B171" s="14" t="str">
        <x:v>9/3/2024 12:00:00 AM</x:v>
      </x:c>
      <x:c r="C171" s="21" t="n">
        <x:v>153.5</x:v>
      </x:c>
      <x:c r="D171" s="14" t="str">
        <x:v>ISK/EUR</x:v>
      </x:c>
      <x:c r="E171" s="14" t="str">
        <x:v>SÍ 4064</x:v>
      </x:c>
      <x:c r="F171" s="14" t="str"/>
      <x:c r="G171" s="14" t="str">
        <x:v>Ísland</x:v>
      </x:c>
      <x:c r="H171" s="14" t="str">
        <x:v>Evra, skráð miðgengi.</x:v>
      </x:c>
    </x:row>
    <x:row r="172">
      <x:c r="A172" s="14" t="str">
        <x:v>gengi</x:v>
      </x:c>
      <x:c r="B172" s="14" t="str">
        <x:v>9/4/2024 12:00:00 AM</x:v>
      </x:c>
      <x:c r="C172" s="21" t="n">
        <x:v>153.5</x:v>
      </x:c>
      <x:c r="D172" s="14" t="str">
        <x:v>ISK/EUR</x:v>
      </x:c>
      <x:c r="E172" s="14" t="str">
        <x:v>SÍ 4064</x:v>
      </x:c>
      <x:c r="F172" s="14" t="str"/>
      <x:c r="G172" s="14" t="str">
        <x:v>Ísland</x:v>
      </x:c>
      <x:c r="H172" s="14" t="str">
        <x:v>Evra, skráð miðgengi.</x:v>
      </x:c>
    </x:row>
    <x:row r="173">
      <x:c r="A173" s="14" t="str">
        <x:v>gengi</x:v>
      </x:c>
      <x:c r="B173" s="14" t="str">
        <x:v>9/5/2024 12:00:00 AM</x:v>
      </x:c>
      <x:c r="C173" s="21" t="n">
        <x:v>153.5</x:v>
      </x:c>
      <x:c r="D173" s="14" t="str">
        <x:v>ISK/EUR</x:v>
      </x:c>
      <x:c r="E173" s="14" t="str">
        <x:v>SÍ 4064</x:v>
      </x:c>
      <x:c r="F173" s="14" t="str"/>
      <x:c r="G173" s="14" t="str">
        <x:v>Ísland</x:v>
      </x:c>
      <x:c r="H173" s="14" t="str">
        <x:v>Evra, skráð miðgengi.</x:v>
      </x:c>
    </x:row>
    <x:row r="174">
      <x:c r="A174" s="14" t="str">
        <x:v>gengi</x:v>
      </x:c>
      <x:c r="B174" s="14" t="str">
        <x:v>9/6/2024 12:00:00 AM</x:v>
      </x:c>
      <x:c r="C174" s="21" t="n">
        <x:v>153.3</x:v>
      </x:c>
      <x:c r="D174" s="14" t="str">
        <x:v>ISK/EUR</x:v>
      </x:c>
      <x:c r="E174" s="14" t="str">
        <x:v>SÍ 4064</x:v>
      </x:c>
      <x:c r="F174" s="14" t="str"/>
      <x:c r="G174" s="14" t="str">
        <x:v>Ísland</x:v>
      </x:c>
      <x:c r="H174" s="14" t="str">
        <x:v>Evra, skráð miðgengi.</x:v>
      </x:c>
    </x:row>
    <x:row r="175">
      <x:c r="A175" s="14" t="str">
        <x:v>gengi</x:v>
      </x:c>
      <x:c r="B175" s="14" t="str">
        <x:v>9/9/2024 12:00:00 AM</x:v>
      </x:c>
      <x:c r="C175" s="21" t="n">
        <x:v>152.3</x:v>
      </x:c>
      <x:c r="D175" s="14" t="str">
        <x:v>ISK/EUR</x:v>
      </x:c>
      <x:c r="E175" s="14" t="str">
        <x:v>SÍ 4064</x:v>
      </x:c>
      <x:c r="F175" s="14" t="str"/>
      <x:c r="G175" s="14" t="str">
        <x:v>Ísland</x:v>
      </x:c>
      <x:c r="H175" s="14" t="str">
        <x:v>Evra, skráð miðgengi.</x:v>
      </x:c>
    </x:row>
    <x:row r="176">
      <x:c r="A176" s="14" t="str">
        <x:v>gengi</x:v>
      </x:c>
      <x:c r="B176" s="14" t="str">
        <x:v>9/10/2024 12:00:00 AM</x:v>
      </x:c>
      <x:c r="C176" s="21" t="n">
        <x:v>152.3</x:v>
      </x:c>
      <x:c r="D176" s="14" t="str">
        <x:v>ISK/EUR</x:v>
      </x:c>
      <x:c r="E176" s="14" t="str">
        <x:v>SÍ 4064</x:v>
      </x:c>
      <x:c r="F176" s="14" t="str"/>
      <x:c r="G176" s="14" t="str">
        <x:v>Ísland</x:v>
      </x:c>
      <x:c r="H176" s="14" t="str">
        <x:v>Evra, skráð miðgengi.</x:v>
      </x:c>
    </x:row>
    <x:row r="177">
      <x:c r="A177" s="14" t="str">
        <x:v>gengi</x:v>
      </x:c>
      <x:c r="B177" s="14" t="str">
        <x:v>9/11/2024 12:00:00 AM</x:v>
      </x:c>
      <x:c r="C177" s="21" t="n">
        <x:v>152.7</x:v>
      </x:c>
      <x:c r="D177" s="14" t="str">
        <x:v>ISK/EUR</x:v>
      </x:c>
      <x:c r="E177" s="14" t="str">
        <x:v>SÍ 4064</x:v>
      </x:c>
      <x:c r="F177" s="14" t="str"/>
      <x:c r="G177" s="14" t="str">
        <x:v>Ísland</x:v>
      </x:c>
      <x:c r="H177" s="14" t="str">
        <x:v>Evra, skráð miðgengi.</x:v>
      </x:c>
    </x:row>
    <x:row r="178">
      <x:c r="A178" s="14" t="str">
        <x:v>gengi</x:v>
      </x:c>
      <x:c r="B178" s="14" t="str">
        <x:v>9/12/2024 12:00:00 AM</x:v>
      </x:c>
      <x:c r="C178" s="21" t="n">
        <x:v>152.3</x:v>
      </x:c>
      <x:c r="D178" s="14" t="str">
        <x:v>ISK/EUR</x:v>
      </x:c>
      <x:c r="E178" s="14" t="str">
        <x:v>SÍ 4064</x:v>
      </x:c>
      <x:c r="F178" s="14" t="str"/>
      <x:c r="G178" s="14" t="str">
        <x:v>Ísland</x:v>
      </x:c>
      <x:c r="H178" s="14" t="str">
        <x:v>Evra, skráð miðgengi.</x:v>
      </x:c>
    </x:row>
    <x:row r="179">
      <x:c r="A179" s="14" t="str">
        <x:v>gengi</x:v>
      </x:c>
      <x:c r="B179" s="14" t="str">
        <x:v>9/13/2024 12:00:00 AM</x:v>
      </x:c>
      <x:c r="C179" s="21" t="n">
        <x:v>152.3</x:v>
      </x:c>
      <x:c r="D179" s="14" t="str">
        <x:v>ISK/EUR</x:v>
      </x:c>
      <x:c r="E179" s="14" t="str">
        <x:v>SÍ 4064</x:v>
      </x:c>
      <x:c r="F179" s="14" t="str"/>
      <x:c r="G179" s="14" t="str">
        <x:v>Ísland</x:v>
      </x:c>
      <x:c r="H179" s="14" t="str">
        <x:v>Evra, skráð miðgengi.</x:v>
      </x:c>
    </x:row>
    <x:row r="180">
      <x:c r="A180" s="14" t="str">
        <x:v>gengi</x:v>
      </x:c>
      <x:c r="B180" s="14" t="str">
        <x:v>9/16/2024 12:00:00 AM</x:v>
      </x:c>
      <x:c r="C180" s="21" t="n">
        <x:v>152.3</x:v>
      </x:c>
      <x:c r="D180" s="14" t="str">
        <x:v>ISK/EUR</x:v>
      </x:c>
      <x:c r="E180" s="14" t="str">
        <x:v>SÍ 4064</x:v>
      </x:c>
      <x:c r="F180" s="14" t="str"/>
      <x:c r="G180" s="14" t="str">
        <x:v>Ísland</x:v>
      </x:c>
      <x:c r="H180" s="14" t="str">
        <x:v>Evra, skráð miðgengi.</x:v>
      </x:c>
    </x:row>
    <x:row r="181">
      <x:c r="A181" s="14" t="str">
        <x:v>gengi</x:v>
      </x:c>
      <x:c r="B181" s="14" t="str">
        <x:v>9/17/2024 12:00:00 AM</x:v>
      </x:c>
      <x:c r="C181" s="21" t="n">
        <x:v>152.3</x:v>
      </x:c>
      <x:c r="D181" s="14" t="str">
        <x:v>ISK/EUR</x:v>
      </x:c>
      <x:c r="E181" s="14" t="str">
        <x:v>SÍ 4064</x:v>
      </x:c>
      <x:c r="F181" s="14" t="str"/>
      <x:c r="G181" s="14" t="str">
        <x:v>Ísland</x:v>
      </x:c>
      <x:c r="H181" s="14" t="str">
        <x:v>Evra, skráð miðgengi.</x:v>
      </x:c>
    </x:row>
    <x:row r="182">
      <x:c r="A182" s="14" t="str">
        <x:v>gengi</x:v>
      </x:c>
      <x:c r="B182" s="14" t="str">
        <x:v>9/18/2024 12:00:00 AM</x:v>
      </x:c>
      <x:c r="C182" s="21" t="n">
        <x:v>152.3</x:v>
      </x:c>
      <x:c r="D182" s="14" t="str">
        <x:v>ISK/EUR</x:v>
      </x:c>
      <x:c r="E182" s="14" t="str">
        <x:v>SÍ 4064</x:v>
      </x:c>
      <x:c r="F182" s="14" t="str"/>
      <x:c r="G182" s="14" t="str">
        <x:v>Ísland</x:v>
      </x:c>
      <x:c r="H182" s="14" t="str">
        <x:v>Evra, skráð miðgengi.</x:v>
      </x:c>
    </x:row>
    <x:row r="183">
      <x:c r="A183" s="14" t="str">
        <x:v>gengi</x:v>
      </x:c>
      <x:c r="B183" s="14" t="str">
        <x:v>9/19/2024 12:00:00 AM</x:v>
      </x:c>
      <x:c r="C183" s="21" t="n">
        <x:v>152.5</x:v>
      </x:c>
      <x:c r="D183" s="14" t="str">
        <x:v>ISK/EUR</x:v>
      </x:c>
      <x:c r="E183" s="14" t="str">
        <x:v>SÍ 4064</x:v>
      </x:c>
      <x:c r="F183" s="14" t="str"/>
      <x:c r="G183" s="14" t="str">
        <x:v>Ísland</x:v>
      </x:c>
      <x:c r="H183" s="14" t="str">
        <x:v>Evra, skráð miðgengi.</x:v>
      </x:c>
    </x:row>
    <x:row r="184">
      <x:c r="A184" s="14" t="str">
        <x:v>gengi</x:v>
      </x:c>
      <x:c r="B184" s="14" t="str">
        <x:v>9/20/2024 12:00:00 AM</x:v>
      </x:c>
      <x:c r="C184" s="21" t="n">
        <x:v>152.1</x:v>
      </x:c>
      <x:c r="D184" s="14" t="str">
        <x:v>ISK/EUR</x:v>
      </x:c>
      <x:c r="E184" s="14" t="str">
        <x:v>SÍ 4064</x:v>
      </x:c>
      <x:c r="F184" s="14" t="str"/>
      <x:c r="G184" s="14" t="str">
        <x:v>Ísland</x:v>
      </x:c>
      <x:c r="H184" s="14" t="str">
        <x:v>Evra, skráð miðgengi.</x:v>
      </x:c>
    </x:row>
    <x:row r="185">
      <x:c r="A185" s="14" t="str">
        <x:v>gengi</x:v>
      </x:c>
      <x:c r="B185" s="14" t="str">
        <x:v>9/23/2024 12:00:00 AM</x:v>
      </x:c>
      <x:c r="C185" s="21" t="n">
        <x:v>151.7</x:v>
      </x:c>
      <x:c r="D185" s="14" t="str">
        <x:v>ISK/EUR</x:v>
      </x:c>
      <x:c r="E185" s="14" t="str">
        <x:v>SÍ 4064</x:v>
      </x:c>
      <x:c r="F185" s="14" t="str"/>
      <x:c r="G185" s="14" t="str">
        <x:v>Ísland</x:v>
      </x:c>
      <x:c r="H185" s="14" t="str">
        <x:v>Evra, skráð miðgengi.</x:v>
      </x:c>
    </x:row>
    <x:row r="186">
      <x:c r="A186" s="14" t="str">
        <x:v>gengi</x:v>
      </x:c>
      <x:c r="B186" s="14" t="str">
        <x:v>9/24/2024 12:00:00 AM</x:v>
      </x:c>
      <x:c r="C186" s="21" t="n">
        <x:v>151.7</x:v>
      </x:c>
      <x:c r="D186" s="14" t="str">
        <x:v>ISK/EUR</x:v>
      </x:c>
      <x:c r="E186" s="14" t="str">
        <x:v>SÍ 4064</x:v>
      </x:c>
      <x:c r="F186" s="14" t="str"/>
      <x:c r="G186" s="14" t="str">
        <x:v>Ísland</x:v>
      </x:c>
      <x:c r="H186" s="14" t="str">
        <x:v>Evra, skráð miðgengi.</x:v>
      </x:c>
    </x:row>
    <x:row r="187">
      <x:c r="A187" s="14" t="str">
        <x:v>gengi</x:v>
      </x:c>
      <x:c r="B187" s="14" t="str">
        <x:v>9/25/2024 12:00:00 AM</x:v>
      </x:c>
      <x:c r="C187" s="21" t="n">
        <x:v>150.5</x:v>
      </x:c>
      <x:c r="D187" s="14" t="str">
        <x:v>ISK/EUR</x:v>
      </x:c>
      <x:c r="E187" s="14" t="str">
        <x:v>SÍ 4064</x:v>
      </x:c>
      <x:c r="F187" s="14" t="str"/>
      <x:c r="G187" s="14" t="str">
        <x:v>Ísland</x:v>
      </x:c>
      <x:c r="H187" s="14" t="str">
        <x:v>Evra, skráð miðgengi.</x:v>
      </x:c>
    </x:row>
    <x:row r="188">
      <x:c r="A188" s="14" t="str">
        <x:v>gengi</x:v>
      </x:c>
      <x:c r="B188" s="14" t="str">
        <x:v>9/26/2024 12:00:00 AM</x:v>
      </x:c>
      <x:c r="C188" s="21" t="n">
        <x:v>150.5</x:v>
      </x:c>
      <x:c r="D188" s="14" t="str">
        <x:v>ISK/EUR</x:v>
      </x:c>
      <x:c r="E188" s="14" t="str">
        <x:v>SÍ 4064</x:v>
      </x:c>
      <x:c r="F188" s="14" t="str"/>
      <x:c r="G188" s="14" t="str">
        <x:v>Ísland</x:v>
      </x:c>
      <x:c r="H188" s="14" t="str">
        <x:v>Evra, skráð miðgengi.</x:v>
      </x:c>
    </x:row>
    <x:row r="189">
      <x:c r="A189" s="14" t="str">
        <x:v>gengi</x:v>
      </x:c>
      <x:c r="B189" s="14" t="str">
        <x:v>9/27/2024 12:00:00 AM</x:v>
      </x:c>
      <x:c r="C189" s="21" t="n">
        <x:v>150.7</x:v>
      </x:c>
      <x:c r="D189" s="14" t="str">
        <x:v>ISK/EUR</x:v>
      </x:c>
      <x:c r="E189" s="14" t="str">
        <x:v>SÍ 4064</x:v>
      </x:c>
      <x:c r="F189" s="14" t="str"/>
      <x:c r="G189" s="14" t="str">
        <x:v>Ísland</x:v>
      </x:c>
      <x:c r="H189" s="14" t="str">
        <x:v>Evra, skráð miðgengi.</x:v>
      </x:c>
    </x:row>
    <x:row r="190">
      <x:c r="A190" s="14" t="str">
        <x:v>gengi</x:v>
      </x:c>
      <x:c r="B190" s="14" t="str">
        <x:v>9/30/2024 12:00:00 AM</x:v>
      </x:c>
      <x:c r="C190" s="21" t="n">
        <x:v>150.7</x:v>
      </x:c>
      <x:c r="D190" s="14" t="str">
        <x:v>ISK/EUR</x:v>
      </x:c>
      <x:c r="E190" s="14" t="str">
        <x:v>SÍ 4064</x:v>
      </x:c>
      <x:c r="F190" s="14" t="str"/>
      <x:c r="G190" s="14" t="str">
        <x:v>Ísland</x:v>
      </x:c>
      <x:c r="H190" s="14" t="str">
        <x:v>Evra, skráð miðgengi.</x:v>
      </x:c>
    </x:row>
    <x:row r="191">
      <x:c r="A191" s="14" t="str">
        <x:v>gengi</x:v>
      </x:c>
      <x:c r="B191" s="14" t="str">
        <x:v>10/1/2024 12:00:00 AM</x:v>
      </x:c>
      <x:c r="C191" s="21" t="n">
        <x:v>149.9</x:v>
      </x:c>
      <x:c r="D191" s="14" t="str">
        <x:v>ISK/EUR</x:v>
      </x:c>
      <x:c r="E191" s="14" t="str">
        <x:v>SÍ 4064</x:v>
      </x:c>
      <x:c r="F191" s="14" t="str"/>
      <x:c r="G191" s="14" t="str">
        <x:v>Ísland</x:v>
      </x:c>
      <x:c r="H191" s="14" t="str">
        <x:v>Evra, skráð miðgengi.</x:v>
      </x:c>
    </x:row>
    <x:row r="192">
      <x:c r="A192" s="14" t="str">
        <x:v>gengi</x:v>
      </x:c>
      <x:c r="B192" s="14" t="str">
        <x:v>10/2/2024 12:00:00 AM</x:v>
      </x:c>
      <x:c r="C192" s="21" t="n">
        <x:v>149.7</x:v>
      </x:c>
      <x:c r="D192" s="14" t="str">
        <x:v>ISK/EUR</x:v>
      </x:c>
      <x:c r="E192" s="14" t="str">
        <x:v>SÍ 4064</x:v>
      </x:c>
      <x:c r="F192" s="14" t="str"/>
      <x:c r="G192" s="14" t="str">
        <x:v>Ísland</x:v>
      </x:c>
      <x:c r="H192" s="14" t="str">
        <x:v>Evra, skráð miðgengi.</x:v>
      </x:c>
    </x:row>
    <x:row r="193">
      <x:c r="A193" s="14" t="str">
        <x:v>gengi</x:v>
      </x:c>
      <x:c r="B193" s="14" t="str">
        <x:v>10/3/2024 12:00:00 AM</x:v>
      </x:c>
      <x:c r="C193" s="21" t="n">
        <x:v>149.3</x:v>
      </x:c>
      <x:c r="D193" s="14" t="str">
        <x:v>ISK/EUR</x:v>
      </x:c>
      <x:c r="E193" s="14" t="str">
        <x:v>SÍ 4064</x:v>
      </x:c>
      <x:c r="F193" s="14" t="str"/>
      <x:c r="G193" s="14" t="str">
        <x:v>Ísland</x:v>
      </x:c>
      <x:c r="H193" s="14" t="str">
        <x:v>Evra, skráð miðgengi.</x:v>
      </x:c>
    </x:row>
    <x:row r="194">
      <x:c r="A194" s="14" t="str">
        <x:v>gengi</x:v>
      </x:c>
      <x:c r="B194" s="14" t="str">
        <x:v>10/4/2024 12:00:00 AM</x:v>
      </x:c>
      <x:c r="C194" s="21" t="n">
        <x:v>149.1</x:v>
      </x:c>
      <x:c r="D194" s="14" t="str">
        <x:v>ISK/EUR</x:v>
      </x:c>
      <x:c r="E194" s="14" t="str">
        <x:v>SÍ 4064</x:v>
      </x:c>
      <x:c r="F194" s="14" t="str"/>
      <x:c r="G194" s="14" t="str">
        <x:v>Ísland</x:v>
      </x:c>
      <x:c r="H194" s="14" t="str">
        <x:v>Evra, skráð miðgengi.</x:v>
      </x:c>
    </x:row>
    <x:row r="195">
      <x:c r="A195" s="14" t="str">
        <x:v>gengi</x:v>
      </x:c>
      <x:c r="B195" s="14" t="str">
        <x:v>10/7/2024 12:00:00 AM</x:v>
      </x:c>
      <x:c r="C195" s="21" t="n">
        <x:v>148.5</x:v>
      </x:c>
      <x:c r="D195" s="14" t="str">
        <x:v>ISK/EUR</x:v>
      </x:c>
      <x:c r="E195" s="14" t="str">
        <x:v>SÍ 4064</x:v>
      </x:c>
      <x:c r="F195" s="14" t="str"/>
      <x:c r="G195" s="14" t="str">
        <x:v>Ísland</x:v>
      </x:c>
      <x:c r="H195" s="14" t="str">
        <x:v>Evra, skráð miðgengi.</x:v>
      </x:c>
    </x:row>
    <x:row r="196">
      <x:c r="A196" s="14" t="str">
        <x:v>gengi</x:v>
      </x:c>
      <x:c r="B196" s="14" t="str">
        <x:v>10/8/2024 12:00:00 AM</x:v>
      </x:c>
      <x:c r="C196" s="21" t="n">
        <x:v>148.5</x:v>
      </x:c>
      <x:c r="D196" s="14" t="str">
        <x:v>ISK/EUR</x:v>
      </x:c>
      <x:c r="E196" s="14" t="str">
        <x:v>SÍ 4064</x:v>
      </x:c>
      <x:c r="F196" s="14" t="str"/>
      <x:c r="G196" s="14" t="str">
        <x:v>Ísland</x:v>
      </x:c>
      <x:c r="H196" s="14" t="str">
        <x:v>Evra, skráð miðgengi.</x:v>
      </x:c>
    </x:row>
    <x:row r="197">
      <x:c r="A197" s="14" t="str">
        <x:v>gengi</x:v>
      </x:c>
      <x:c r="B197" s="14" t="str">
        <x:v>10/9/2024 12:00:00 AM</x:v>
      </x:c>
      <x:c r="C197" s="21" t="n">
        <x:v>148.7</x:v>
      </x:c>
      <x:c r="D197" s="14" t="str">
        <x:v>ISK/EUR</x:v>
      </x:c>
      <x:c r="E197" s="14" t="str">
        <x:v>SÍ 4064</x:v>
      </x:c>
      <x:c r="F197" s="14" t="str"/>
      <x:c r="G197" s="14" t="str">
        <x:v>Ísland</x:v>
      </x:c>
      <x:c r="H197" s="14" t="str">
        <x:v>Evra, skráð miðgengi.</x:v>
      </x:c>
    </x:row>
    <x:row r="198">
      <x:c r="A198" s="14" t="str">
        <x:v>gengi</x:v>
      </x:c>
      <x:c r="B198" s="14" t="str">
        <x:v>10/10/2024 12:00:00 AM</x:v>
      </x:c>
      <x:c r="C198" s="21" t="n">
        <x:v>148.5</x:v>
      </x:c>
      <x:c r="D198" s="14" t="str">
        <x:v>ISK/EUR</x:v>
      </x:c>
      <x:c r="E198" s="14" t="str">
        <x:v>SÍ 4064</x:v>
      </x:c>
      <x:c r="F198" s="14" t="str"/>
      <x:c r="G198" s="14" t="str">
        <x:v>Ísland</x:v>
      </x:c>
      <x:c r="H198" s="14" t="str">
        <x:v>Evra, skráð miðgengi.</x:v>
      </x:c>
    </x:row>
    <x:row r="199">
      <x:c r="A199" s="14" t="str">
        <x:v>gengi</x:v>
      </x:c>
      <x:c r="B199" s="14" t="str">
        <x:v>10/11/2024 12:00:00 AM</x:v>
      </x:c>
      <x:c r="C199" s="21" t="n">
        <x:v>149.1</x:v>
      </x:c>
      <x:c r="D199" s="14" t="str">
        <x:v>ISK/EUR</x:v>
      </x:c>
      <x:c r="E199" s="14" t="str">
        <x:v>SÍ 4064</x:v>
      </x:c>
      <x:c r="F199" s="14" t="str"/>
      <x:c r="G199" s="14" t="str">
        <x:v>Ísland</x:v>
      </x:c>
      <x:c r="H199" s="14" t="str">
        <x:v>Evra, skráð miðgengi.</x:v>
      </x:c>
    </x:row>
    <x:row r="200">
      <x:c r="A200" s="14" t="str">
        <x:v>gengi</x:v>
      </x:c>
      <x:c r="B200" s="14" t="str">
        <x:v>10/14/2024 12:00:00 AM</x:v>
      </x:c>
      <x:c r="C200" s="21" t="n">
        <x:v>149.3</x:v>
      </x:c>
      <x:c r="D200" s="14" t="str">
        <x:v>ISK/EUR</x:v>
      </x:c>
      <x:c r="E200" s="14" t="str">
        <x:v>SÍ 4064</x:v>
      </x:c>
      <x:c r="F200" s="14" t="str"/>
      <x:c r="G200" s="14" t="str">
        <x:v>Ísland</x:v>
      </x:c>
      <x:c r="H200" s="14" t="str">
        <x:v>Evra, skráð miðgengi.</x:v>
      </x:c>
    </x:row>
    <x:row r="201">
      <x:c r="A201" s="14" t="str">
        <x:v>gengi</x:v>
      </x:c>
      <x:c r="B201" s="14" t="str">
        <x:v>10/15/2024 12:00:00 AM</x:v>
      </x:c>
      <x:c r="C201" s="21" t="n">
        <x:v>149.3</x:v>
      </x:c>
      <x:c r="D201" s="14" t="str">
        <x:v>ISK/EUR</x:v>
      </x:c>
      <x:c r="E201" s="14" t="str">
        <x:v>SÍ 4064</x:v>
      </x:c>
      <x:c r="F201" s="14" t="str"/>
      <x:c r="G201" s="14" t="str">
        <x:v>Ísland</x:v>
      </x:c>
      <x:c r="H201" s="14" t="str">
        <x:v>Evra, skráð miðgengi.</x:v>
      </x:c>
    </x:row>
    <x:row r="202">
      <x:c r="A202" s="14" t="str">
        <x:v>gengi</x:v>
      </x:c>
      <x:c r="B202" s="14" t="str">
        <x:v>10/16/2024 12:00:00 AM</x:v>
      </x:c>
      <x:c r="C202" s="21" t="n">
        <x:v>149.7</x:v>
      </x:c>
      <x:c r="D202" s="14" t="str">
        <x:v>ISK/EUR</x:v>
      </x:c>
      <x:c r="E202" s="14" t="str">
        <x:v>SÍ 4064</x:v>
      </x:c>
      <x:c r="F202" s="14" t="str"/>
      <x:c r="G202" s="14" t="str">
        <x:v>Ísland</x:v>
      </x:c>
      <x:c r="H202" s="14" t="str">
        <x:v>Evra, skráð miðgengi.</x:v>
      </x:c>
    </x:row>
    <x:row r="203">
      <x:c r="A203" s="14" t="str">
        <x:v>gengi</x:v>
      </x:c>
      <x:c r="B203" s="14" t="str">
        <x:v>10/17/2024 12:00:00 AM</x:v>
      </x:c>
      <x:c r="C203" s="21" t="n">
        <x:v>149.1</x:v>
      </x:c>
      <x:c r="D203" s="14" t="str">
        <x:v>ISK/EUR</x:v>
      </x:c>
      <x:c r="E203" s="14" t="str">
        <x:v>SÍ 4064</x:v>
      </x:c>
      <x:c r="F203" s="14" t="str"/>
      <x:c r="G203" s="14" t="str">
        <x:v>Ísland</x:v>
      </x:c>
      <x:c r="H203" s="14" t="str">
        <x:v>Evra, skráð miðgengi.</x:v>
      </x:c>
    </x:row>
    <x:row r="204">
      <x:c r="A204" s="14" t="str">
        <x:v>gengi</x:v>
      </x:c>
      <x:c r="B204" s="14" t="str">
        <x:v>10/18/2024 12:00:00 AM</x:v>
      </x:c>
      <x:c r="C204" s="21" t="n">
        <x:v>149.3</x:v>
      </x:c>
      <x:c r="D204" s="14" t="str">
        <x:v>ISK/EUR</x:v>
      </x:c>
      <x:c r="E204" s="14" t="str">
        <x:v>SÍ 4064</x:v>
      </x:c>
      <x:c r="F204" s="14" t="str"/>
      <x:c r="G204" s="14" t="str">
        <x:v>Ísland</x:v>
      </x:c>
      <x:c r="H204" s="14" t="str">
        <x:v>Evra, skráð miðgengi.</x:v>
      </x:c>
    </x:row>
    <x:row r="205">
      <x:c r="A205" s="14" t="str">
        <x:v>gengi</x:v>
      </x:c>
      <x:c r="B205" s="14" t="str">
        <x:v>10/21/2024 12:00:00 AM</x:v>
      </x:c>
      <x:c r="C205" s="21" t="n">
        <x:v>149.3</x:v>
      </x:c>
      <x:c r="D205" s="14" t="str">
        <x:v>ISK/EUR</x:v>
      </x:c>
      <x:c r="E205" s="14" t="str">
        <x:v>SÍ 4064</x:v>
      </x:c>
      <x:c r="F205" s="14" t="str"/>
      <x:c r="G205" s="14" t="str">
        <x:v>Ísland</x:v>
      </x:c>
      <x:c r="H205" s="14" t="str">
        <x:v>Evra, skráð miðgengi.</x:v>
      </x:c>
    </x:row>
    <x:row r="206">
      <x:c r="A206" s="14" t="str">
        <x:v>gengi</x:v>
      </x:c>
      <x:c r="B206" s="14" t="str">
        <x:v>10/22/2024 12:00:00 AM</x:v>
      </x:c>
      <x:c r="C206" s="21" t="n">
        <x:v>149.3</x:v>
      </x:c>
      <x:c r="D206" s="14" t="str">
        <x:v>ISK/EUR</x:v>
      </x:c>
      <x:c r="E206" s="14" t="str">
        <x:v>SÍ 4064</x:v>
      </x:c>
      <x:c r="F206" s="14" t="str"/>
      <x:c r="G206" s="14" t="str">
        <x:v>Ísland</x:v>
      </x:c>
      <x:c r="H206" s="14" t="str">
        <x:v>Evra, skráð miðgengi.</x:v>
      </x:c>
    </x:row>
    <x:row r="207">
      <x:c r="A207" s="14" t="str">
        <x:v>gengi</x:v>
      </x:c>
      <x:c r="B207" s="14" t="str">
        <x:v>10/23/2024 12:00:00 AM</x:v>
      </x:c>
      <x:c r="C207" s="21" t="n">
        <x:v>149.3</x:v>
      </x:c>
      <x:c r="D207" s="14" t="str">
        <x:v>ISK/EUR</x:v>
      </x:c>
      <x:c r="E207" s="14" t="str">
        <x:v>SÍ 4064</x:v>
      </x:c>
      <x:c r="F207" s="14" t="str"/>
      <x:c r="G207" s="14" t="str">
        <x:v>Ísland</x:v>
      </x:c>
      <x:c r="H207" s="14" t="str">
        <x:v>Evra, skráð miðgengi.</x:v>
      </x:c>
    </x:row>
    <x:row r="208">
      <x:c r="A208" s="14" t="str">
        <x:v>gengi</x:v>
      </x:c>
      <x:c r="B208" s="14" t="str">
        <x:v>10/24/2024 12:00:00 AM</x:v>
      </x:c>
      <x:c r="C208" s="21" t="n">
        <x:v>148.7</x:v>
      </x:c>
      <x:c r="D208" s="14" t="str">
        <x:v>ISK/EUR</x:v>
      </x:c>
      <x:c r="E208" s="14" t="str">
        <x:v>SÍ 4064</x:v>
      </x:c>
      <x:c r="F208" s="14" t="str"/>
      <x:c r="G208" s="14" t="str">
        <x:v>Ísland</x:v>
      </x:c>
      <x:c r="H208" s="14" t="str">
        <x:v>Evra, skráð miðgengi.</x:v>
      </x:c>
    </x:row>
    <x:row r="209">
      <x:c r="A209" s="14" t="str">
        <x:v>gengi</x:v>
      </x:c>
      <x:c r="B209" s="14" t="str">
        <x:v>10/25/2024 12:00:00 AM</x:v>
      </x:c>
      <x:c r="C209" s="21" t="n">
        <x:v>149.1</x:v>
      </x:c>
      <x:c r="D209" s="14" t="str">
        <x:v>ISK/EUR</x:v>
      </x:c>
      <x:c r="E209" s="14" t="str">
        <x:v>SÍ 4064</x:v>
      </x:c>
      <x:c r="F209" s="14" t="str"/>
      <x:c r="G209" s="14" t="str">
        <x:v>Ísland</x:v>
      </x:c>
      <x:c r="H209" s="14" t="str">
        <x:v>Evra, skráð miðgengi.</x:v>
      </x:c>
    </x:row>
    <x:row r="210">
      <x:c r="A210" s="14" t="str">
        <x:v>gengi</x:v>
      </x:c>
      <x:c r="B210" s="14" t="str">
        <x:v>10/28/2024 12:00:00 AM</x:v>
      </x:c>
      <x:c r="C210" s="21" t="n">
        <x:v>149.1</x:v>
      </x:c>
      <x:c r="D210" s="14" t="str">
        <x:v>ISK/EUR</x:v>
      </x:c>
      <x:c r="E210" s="14" t="str">
        <x:v>SÍ 4064</x:v>
      </x:c>
      <x:c r="F210" s="14" t="str"/>
      <x:c r="G210" s="14" t="str">
        <x:v>Ísland</x:v>
      </x:c>
      <x:c r="H210" s="14" t="str">
        <x:v>Evra, skráð miðgengi.</x:v>
      </x:c>
    </x:row>
    <x:row r="211">
      <x:c r="A211" s="14" t="str">
        <x:v>gengi</x:v>
      </x:c>
      <x:c r="B211" s="14" t="str">
        <x:v>10/29/2024 12:00:00 AM</x:v>
      </x:c>
      <x:c r="C211" s="21" t="n">
        <x:v>148.7</x:v>
      </x:c>
      <x:c r="D211" s="14" t="str">
        <x:v>ISK/EUR</x:v>
      </x:c>
      <x:c r="E211" s="14" t="str">
        <x:v>SÍ 4064</x:v>
      </x:c>
      <x:c r="F211" s="14" t="str"/>
      <x:c r="G211" s="14" t="str">
        <x:v>Ísland</x:v>
      </x:c>
      <x:c r="H211" s="14" t="str">
        <x:v>Evra, skráð miðgengi.</x:v>
      </x:c>
    </x:row>
    <x:row r="212">
      <x:c r="A212" s="14" t="str">
        <x:v>gengi</x:v>
      </x:c>
      <x:c r="B212" s="14" t="str">
        <x:v>10/30/2024 12:00:00 AM</x:v>
      </x:c>
      <x:c r="C212" s="21" t="n">
        <x:v>148.5</x:v>
      </x:c>
      <x:c r="D212" s="14" t="str">
        <x:v>ISK/EUR</x:v>
      </x:c>
      <x:c r="E212" s="14" t="str">
        <x:v>SÍ 4064</x:v>
      </x:c>
      <x:c r="F212" s="14" t="str"/>
      <x:c r="G212" s="14" t="str">
        <x:v>Ísland</x:v>
      </x:c>
      <x:c r="H212" s="14" t="str">
        <x:v>Evra, skráð miðgengi.</x:v>
      </x:c>
    </x:row>
    <x:row r="213">
      <x:c r="A213" s="14" t="str">
        <x:v>gengi</x:v>
      </x:c>
      <x:c r="B213" s="14" t="str">
        <x:v>10/31/2024 12:00:00 AM</x:v>
      </x:c>
      <x:c r="C213" s="21" t="n">
        <x:v>148.9</x:v>
      </x:c>
      <x:c r="D213" s="14" t="str">
        <x:v>ISK/EUR</x:v>
      </x:c>
      <x:c r="E213" s="14" t="str">
        <x:v>SÍ 4064</x:v>
      </x:c>
      <x:c r="F213" s="14" t="str"/>
      <x:c r="G213" s="14" t="str">
        <x:v>Ísland</x:v>
      </x:c>
      <x:c r="H213" s="14" t="str">
        <x:v>Evra, skráð miðgengi.</x:v>
      </x:c>
    </x:row>
    <x:row r="214">
      <x:c r="A214" s="14" t="str">
        <x:v>gengi</x:v>
      </x:c>
      <x:c r="B214" s="14" t="str">
        <x:v>11/1/2024 12:00:00 AM</x:v>
      </x:c>
      <x:c r="C214" s="21" t="n">
        <x:v>149.1</x:v>
      </x:c>
      <x:c r="D214" s="14" t="str">
        <x:v>ISK/EUR</x:v>
      </x:c>
      <x:c r="E214" s="14" t="str">
        <x:v>SÍ 4064</x:v>
      </x:c>
      <x:c r="F214" s="14" t="str"/>
      <x:c r="G214" s="14" t="str">
        <x:v>Ísland</x:v>
      </x:c>
      <x:c r="H214" s="14" t="str">
        <x:v>Evra, skráð miðgengi.</x:v>
      </x:c>
    </x:row>
    <x:row r="215">
      <x:c r="A215" s="14" t="str">
        <x:v>gengi</x:v>
      </x:c>
      <x:c r="B215" s="14" t="str">
        <x:v>11/4/2024 12:00:00 AM</x:v>
      </x:c>
      <x:c r="C215" s="21" t="n">
        <x:v>148.9</x:v>
      </x:c>
      <x:c r="D215" s="14" t="str">
        <x:v>ISK/EUR</x:v>
      </x:c>
      <x:c r="E215" s="14" t="str">
        <x:v>SÍ 4064</x:v>
      </x:c>
      <x:c r="F215" s="14" t="str"/>
      <x:c r="G215" s="14" t="str">
        <x:v>Ísland</x:v>
      </x:c>
      <x:c r="H215" s="14" t="str">
        <x:v>Evra, skráð miðgengi.</x:v>
      </x:c>
    </x:row>
    <x:row r="216">
      <x:c r="A216" s="14" t="str">
        <x:v>gengi</x:v>
      </x:c>
      <x:c r="B216" s="14" t="str">
        <x:v>11/5/2024 12:00:00 AM</x:v>
      </x:c>
      <x:c r="C216" s="21" t="n">
        <x:v>148.9</x:v>
      </x:c>
      <x:c r="D216" s="14" t="str">
        <x:v>ISK/EUR</x:v>
      </x:c>
      <x:c r="E216" s="14" t="str">
        <x:v>SÍ 4064</x:v>
      </x:c>
      <x:c r="F216" s="14" t="str"/>
      <x:c r="G216" s="14" t="str">
        <x:v>Ísland</x:v>
      </x:c>
      <x:c r="H216" s="14" t="str">
        <x:v>Evra, skráð miðgengi.</x:v>
      </x:c>
    </x:row>
    <x:row r="217">
      <x:c r="A217" s="14" t="str">
        <x:v>gengi</x:v>
      </x:c>
      <x:c r="B217" s="14" t="str">
        <x:v>11/6/2024 12:00:00 AM</x:v>
      </x:c>
      <x:c r="C217" s="21" t="n">
        <x:v>148.3</x:v>
      </x:c>
      <x:c r="D217" s="14" t="str">
        <x:v>ISK/EUR</x:v>
      </x:c>
      <x:c r="E217" s="14" t="str">
        <x:v>SÍ 4064</x:v>
      </x:c>
      <x:c r="F217" s="14" t="str"/>
      <x:c r="G217" s="14" t="str">
        <x:v>Ísland</x:v>
      </x:c>
      <x:c r="H217" s="14" t="str">
        <x:v>Evra, skráð miðgengi.</x:v>
      </x:c>
    </x:row>
    <x:row r="218">
      <x:c r="A218" s="14" t="str">
        <x:v>gengi</x:v>
      </x:c>
      <x:c r="B218" s="14" t="str">
        <x:v>11/7/2024 12:00:00 AM</x:v>
      </x:c>
      <x:c r="C218" s="21" t="n">
        <x:v>148.3</x:v>
      </x:c>
      <x:c r="D218" s="14" t="str">
        <x:v>ISK/EUR</x:v>
      </x:c>
      <x:c r="E218" s="14" t="str">
        <x:v>SÍ 4064</x:v>
      </x:c>
      <x:c r="F218" s="14" t="str"/>
      <x:c r="G218" s="14" t="str">
        <x:v>Ísland</x:v>
      </x:c>
      <x:c r="H218" s="14" t="str">
        <x:v>Evra, skráð miðgengi.</x:v>
      </x:c>
    </x:row>
    <x:row r="219">
      <x:c r="A219" s="14" t="str">
        <x:v>gengi</x:v>
      </x:c>
      <x:c r="B219" s="14" t="str">
        <x:v>11/8/2024 12:00:00 AM</x:v>
      </x:c>
      <x:c r="C219" s="21" t="n">
        <x:v>148.7</x:v>
      </x:c>
      <x:c r="D219" s="14" t="str">
        <x:v>ISK/EUR</x:v>
      </x:c>
      <x:c r="E219" s="14" t="str">
        <x:v>SÍ 4064</x:v>
      </x:c>
      <x:c r="F219" s="14" t="str"/>
      <x:c r="G219" s="14" t="str">
        <x:v>Ísland</x:v>
      </x:c>
      <x:c r="H219" s="14" t="str">
        <x:v>Evra, skráð miðgengi.</x:v>
      </x:c>
    </x:row>
    <x:row r="220">
      <x:c r="A220" s="14" t="str">
        <x:v>gengi</x:v>
      </x:c>
      <x:c r="B220" s="14" t="str">
        <x:v>11/11/2024 12:00:00 AM</x:v>
      </x:c>
      <x:c r="C220" s="21" t="n">
        <x:v>148.3</x:v>
      </x:c>
      <x:c r="D220" s="14" t="str">
        <x:v>ISK/EUR</x:v>
      </x:c>
      <x:c r="E220" s="14" t="str">
        <x:v>SÍ 4064</x:v>
      </x:c>
      <x:c r="F220" s="14" t="str"/>
      <x:c r="G220" s="14" t="str">
        <x:v>Ísland</x:v>
      </x:c>
      <x:c r="H220" s="14" t="str">
        <x:v>Evra, skráð miðgengi.</x:v>
      </x:c>
    </x:row>
    <x:row r="221">
      <x:c r="A221" s="14" t="str">
        <x:v>gengi</x:v>
      </x:c>
      <x:c r="B221" s="14" t="str">
        <x:v>11/12/2024 12:00:00 AM</x:v>
      </x:c>
      <x:c r="C221" s="21" t="n">
        <x:v>147.9</x:v>
      </x:c>
      <x:c r="D221" s="14" t="str">
        <x:v>ISK/EUR</x:v>
      </x:c>
      <x:c r="E221" s="14" t="str">
        <x:v>SÍ 4064</x:v>
      </x:c>
      <x:c r="F221" s="14" t="str"/>
      <x:c r="G221" s="14" t="str">
        <x:v>Ísland</x:v>
      </x:c>
      <x:c r="H221" s="14" t="str">
        <x:v>Evra, skráð miðgengi.</x:v>
      </x:c>
    </x:row>
    <x:row r="222">
      <x:c r="A222" s="14" t="str">
        <x:v>gengi</x:v>
      </x:c>
      <x:c r="B222" s="14" t="str">
        <x:v>11/13/2024 12:00:00 AM</x:v>
      </x:c>
      <x:c r="C222" s="21" t="n">
        <x:v>147.9</x:v>
      </x:c>
      <x:c r="D222" s="14" t="str">
        <x:v>ISK/EUR</x:v>
      </x:c>
      <x:c r="E222" s="14" t="str">
        <x:v>SÍ 4064</x:v>
      </x:c>
      <x:c r="F222" s="14" t="str"/>
      <x:c r="G222" s="14" t="str">
        <x:v>Ísland</x:v>
      </x:c>
      <x:c r="H222" s="14" t="str">
        <x:v>Evra, skráð miðgengi.</x:v>
      </x:c>
    </x:row>
    <x:row r="223">
      <x:c r="A223" s="14" t="str">
        <x:v>gengi</x:v>
      </x:c>
      <x:c r="B223" s="14" t="str">
        <x:v>11/14/2024 12:00:00 AM</x:v>
      </x:c>
      <x:c r="C223" s="21" t="n">
        <x:v>146.3</x:v>
      </x:c>
      <x:c r="D223" s="14" t="str">
        <x:v>ISK/EUR</x:v>
      </x:c>
      <x:c r="E223" s="14" t="str">
        <x:v>SÍ 4064</x:v>
      </x:c>
      <x:c r="F223" s="14" t="str"/>
      <x:c r="G223" s="14" t="str">
        <x:v>Ísland</x:v>
      </x:c>
      <x:c r="H223" s="14" t="str">
        <x:v>Evra, skráð miðgengi.</x:v>
      </x:c>
    </x:row>
    <x:row r="224">
      <x:c r="A224" s="14" t="str">
        <x:v>gengi</x:v>
      </x:c>
      <x:c r="B224" s="14" t="str">
        <x:v>11/15/2024 12:00:00 AM</x:v>
      </x:c>
      <x:c r="C224" s="21" t="n">
        <x:v>145.7</x:v>
      </x:c>
      <x:c r="D224" s="14" t="str">
        <x:v>ISK/EUR</x:v>
      </x:c>
      <x:c r="E224" s="14" t="str">
        <x:v>SÍ 4064</x:v>
      </x:c>
      <x:c r="F224" s="14" t="str"/>
      <x:c r="G224" s="14" t="str">
        <x:v>Ísland</x:v>
      </x:c>
      <x:c r="H224" s="14" t="str">
        <x:v>Evra, skráð miðgengi.</x:v>
      </x:c>
    </x:row>
    <x:row r="225">
      <x:c r="A225" s="14" t="str">
        <x:v>gengi</x:v>
      </x:c>
      <x:c r="B225" s="14" t="str">
        <x:v>11/18/2024 12:00:00 AM</x:v>
      </x:c>
      <x:c r="C225" s="21" t="n">
        <x:v>144.3</x:v>
      </x:c>
      <x:c r="D225" s="14" t="str">
        <x:v>ISK/EUR</x:v>
      </x:c>
      <x:c r="E225" s="14" t="str">
        <x:v>SÍ 4064</x:v>
      </x:c>
      <x:c r="F225" s="14" t="str"/>
      <x:c r="G225" s="14" t="str">
        <x:v>Ísland</x:v>
      </x:c>
      <x:c r="H225" s="14" t="str">
        <x:v>Evra, skráð miðgengi.</x:v>
      </x:c>
    </x:row>
    <x:row r="226">
      <x:c r="A226" s="14" t="str">
        <x:v>gengi</x:v>
      </x:c>
      <x:c r="B226" s="14" t="str">
        <x:v>11/19/2024 12:00:00 AM</x:v>
      </x:c>
      <x:c r="C226" s="21" t="n">
        <x:v>145.3</x:v>
      </x:c>
      <x:c r="D226" s="14" t="str">
        <x:v>ISK/EUR</x:v>
      </x:c>
      <x:c r="E226" s="14" t="str">
        <x:v>SÍ 4064</x:v>
      </x:c>
      <x:c r="F226" s="14" t="str"/>
      <x:c r="G226" s="14" t="str">
        <x:v>Ísland</x:v>
      </x:c>
      <x:c r="H226" s="14" t="str">
        <x:v>Evra, skráð miðgengi.</x:v>
      </x:c>
    </x:row>
    <x:row r="227">
      <x:c r="A227" s="14" t="str">
        <x:v>gengi</x:v>
      </x:c>
      <x:c r="B227" s="14" t="str">
        <x:v>11/20/2024 12:00:00 AM</x:v>
      </x:c>
      <x:c r="C227" s="21" t="n">
        <x:v>145.5</x:v>
      </x:c>
      <x:c r="D227" s="14" t="str">
        <x:v>ISK/EUR</x:v>
      </x:c>
      <x:c r="E227" s="14" t="str">
        <x:v>SÍ 4064</x:v>
      </x:c>
      <x:c r="F227" s="14" t="str"/>
      <x:c r="G227" s="14" t="str">
        <x:v>Ísland</x:v>
      </x:c>
      <x:c r="H227" s="14" t="str">
        <x:v>Evra, skráð miðgengi.</x:v>
      </x:c>
    </x:row>
    <x:row r="228">
      <x:c r="A228" s="14" t="str">
        <x:v>gengi</x:v>
      </x:c>
      <x:c r="B228" s="14" t="str">
        <x:v>11/21/2024 12:00:00 AM</x:v>
      </x:c>
      <x:c r="C228" s="21" t="n">
        <x:v>145.9</x:v>
      </x:c>
      <x:c r="D228" s="14" t="str">
        <x:v>ISK/EUR</x:v>
      </x:c>
      <x:c r="E228" s="14" t="str">
        <x:v>SÍ 4064</x:v>
      </x:c>
      <x:c r="F228" s="14" t="str"/>
      <x:c r="G228" s="14" t="str">
        <x:v>Ísland</x:v>
      </x:c>
      <x:c r="H228" s="14" t="str">
        <x:v>Evra, skráð miðgengi.</x:v>
      </x:c>
    </x:row>
    <x:row r="229">
      <x:c r="A229" s="14" t="str">
        <x:v>gengi</x:v>
      </x:c>
      <x:c r="B229" s="14" t="str">
        <x:v>11/22/2024 12:00:00 AM</x:v>
      </x:c>
      <x:c r="C229" s="21" t="n">
        <x:v>145.7</x:v>
      </x:c>
      <x:c r="D229" s="14" t="str">
        <x:v>ISK/EUR</x:v>
      </x:c>
      <x:c r="E229" s="14" t="str">
        <x:v>SÍ 4064</x:v>
      </x:c>
      <x:c r="F229" s="14" t="str"/>
      <x:c r="G229" s="14" t="str">
        <x:v>Ísland</x:v>
      </x:c>
      <x:c r="H229" s="14" t="str">
        <x:v>Evra, skráð miðgengi.</x:v>
      </x:c>
    </x:row>
    <x:row r="230">
      <x:c r="A230" s="14" t="str">
        <x:v>gengi</x:v>
      </x:c>
      <x:c r="B230" s="14" t="str">
        <x:v>11/25/2024 12:00:00 AM</x:v>
      </x:c>
      <x:c r="C230" s="21" t="n">
        <x:v>145.3</x:v>
      </x:c>
      <x:c r="D230" s="14" t="str">
        <x:v>ISK/EUR</x:v>
      </x:c>
      <x:c r="E230" s="14" t="str">
        <x:v>SÍ 4064</x:v>
      </x:c>
      <x:c r="F230" s="14" t="str"/>
      <x:c r="G230" s="14" t="str">
        <x:v>Ísland</x:v>
      </x:c>
      <x:c r="H230" s="14" t="str">
        <x:v>Evra, skráð miðgengi.</x:v>
      </x:c>
    </x:row>
    <x:row r="231">
      <x:c r="A231" s="14" t="str">
        <x:v>gengi</x:v>
      </x:c>
      <x:c r="B231" s="14" t="str">
        <x:v>11/26/2024 12:00:00 AM</x:v>
      </x:c>
      <x:c r="C231" s="21" t="n">
        <x:v>145.3</x:v>
      </x:c>
      <x:c r="D231" s="14" t="str">
        <x:v>ISK/EUR</x:v>
      </x:c>
      <x:c r="E231" s="14" t="str">
        <x:v>SÍ 4064</x:v>
      </x:c>
      <x:c r="F231" s="14" t="str"/>
      <x:c r="G231" s="14" t="str">
        <x:v>Ísland</x:v>
      </x:c>
      <x:c r="H231" s="14" t="str">
        <x:v>Evra, skráð miðgengi.</x:v>
      </x:c>
    </x:row>
    <x:row r="232">
      <x:c r="A232" s="14" t="str">
        <x:v>gengi</x:v>
      </x:c>
      <x:c r="B232" s="14" t="str">
        <x:v>11/27/2024 12:00:00 AM</x:v>
      </x:c>
      <x:c r="C232" s="21" t="n">
        <x:v>144.7</x:v>
      </x:c>
      <x:c r="D232" s="14" t="str">
        <x:v>ISK/EUR</x:v>
      </x:c>
      <x:c r="E232" s="14" t="str">
        <x:v>SÍ 4064</x:v>
      </x:c>
      <x:c r="F232" s="14" t="str"/>
      <x:c r="G232" s="14" t="str">
        <x:v>Ísland</x:v>
      </x:c>
      <x:c r="H232" s="14" t="str">
        <x:v>Evra, skráð miðgengi.</x:v>
      </x:c>
    </x:row>
    <x:row r="233">
      <x:c r="A233" s="14" t="str">
        <x:v>gengi</x:v>
      </x:c>
      <x:c r="B233" s="14" t="str">
        <x:v>11/28/2024 12:00:00 AM</x:v>
      </x:c>
      <x:c r="C233" s="21" t="n">
        <x:v>145.1</x:v>
      </x:c>
      <x:c r="D233" s="14" t="str">
        <x:v>ISK/EUR</x:v>
      </x:c>
      <x:c r="E233" s="14" t="str">
        <x:v>SÍ 4064</x:v>
      </x:c>
      <x:c r="F233" s="14" t="str"/>
      <x:c r="G233" s="14" t="str">
        <x:v>Ísland</x:v>
      </x:c>
      <x:c r="H233" s="14" t="str">
        <x:v>Evra, skráð miðgengi.</x:v>
      </x:c>
    </x:row>
    <x:row r="234">
      <x:c r="A234" s="14" t="str">
        <x:v>gengi</x:v>
      </x:c>
      <x:c r="B234" s="14" t="str">
        <x:v>11/29/2024 12:00:00 AM</x:v>
      </x:c>
      <x:c r="C234" s="21" t="n">
        <x:v>145.7</x:v>
      </x:c>
      <x:c r="D234" s="14" t="str">
        <x:v>ISK/EUR</x:v>
      </x:c>
      <x:c r="E234" s="14" t="str">
        <x:v>SÍ 4064</x:v>
      </x:c>
      <x:c r="F234" s="14" t="str"/>
      <x:c r="G234" s="14" t="str">
        <x:v>Ísland</x:v>
      </x:c>
      <x:c r="H234" s="14" t="str">
        <x:v>Evra, skráð miðgengi.</x:v>
      </x:c>
    </x:row>
    <x:row r="235">
      <x:c r="A235" s="14" t="str">
        <x:v>gengi</x:v>
      </x:c>
      <x:c r="B235" s="14" t="str">
        <x:v>12/2/2024 12:00:00 AM</x:v>
      </x:c>
      <x:c r="C235" s="21" t="n">
        <x:v>145.9</x:v>
      </x:c>
      <x:c r="D235" s="14" t="str">
        <x:v>ISK/EUR</x:v>
      </x:c>
      <x:c r="E235" s="14" t="str">
        <x:v>SÍ 4064</x:v>
      </x:c>
      <x:c r="F235" s="14" t="str"/>
      <x:c r="G235" s="14" t="str">
        <x:v>Ísland</x:v>
      </x:c>
      <x:c r="H235" s="14" t="str">
        <x:v>Evra, skráð miðgengi.</x:v>
      </x:c>
    </x:row>
    <x:row r="236">
      <x:c r="A236" s="14" t="str">
        <x:v>gengi</x:v>
      </x:c>
      <x:c r="B236" s="14" t="str">
        <x:v>12/3/2024 12:00:00 AM</x:v>
      </x:c>
      <x:c r="C236" s="21" t="n">
        <x:v>145.7</x:v>
      </x:c>
      <x:c r="D236" s="14" t="str">
        <x:v>ISK/EUR</x:v>
      </x:c>
      <x:c r="E236" s="14" t="str">
        <x:v>SÍ 4064</x:v>
      </x:c>
      <x:c r="F236" s="14" t="str"/>
      <x:c r="G236" s="14" t="str">
        <x:v>Ísland</x:v>
      </x:c>
      <x:c r="H236" s="14" t="str">
        <x:v>Evra, skráð miðgengi.</x:v>
      </x:c>
    </x:row>
    <x:row r="237">
      <x:c r="A237" s="14" t="str">
        <x:v>gengi</x:v>
      </x:c>
      <x:c r="B237" s="14" t="str">
        <x:v>12/4/2024 12:00:00 AM</x:v>
      </x:c>
      <x:c r="C237" s="21" t="n">
        <x:v>145.3</x:v>
      </x:c>
      <x:c r="D237" s="14" t="str">
        <x:v>ISK/EUR</x:v>
      </x:c>
      <x:c r="E237" s="14" t="str">
        <x:v>SÍ 4064</x:v>
      </x:c>
      <x:c r="F237" s="14" t="str"/>
      <x:c r="G237" s="14" t="str">
        <x:v>Ísland</x:v>
      </x:c>
      <x:c r="H237" s="14" t="str">
        <x:v>Evra, skráð miðgengi.</x:v>
      </x:c>
    </x:row>
    <x:row r="238">
      <x:c r="A238" s="14" t="str">
        <x:v>gengi</x:v>
      </x:c>
      <x:c r="B238" s="14" t="str">
        <x:v>12/5/2024 12:00:00 AM</x:v>
      </x:c>
      <x:c r="C238" s="21" t="n">
        <x:v>145.5</x:v>
      </x:c>
      <x:c r="D238" s="14" t="str">
        <x:v>ISK/EUR</x:v>
      </x:c>
      <x:c r="E238" s="14" t="str">
        <x:v>SÍ 4064</x:v>
      </x:c>
      <x:c r="F238" s="14" t="str"/>
      <x:c r="G238" s="14" t="str">
        <x:v>Ísland</x:v>
      </x:c>
      <x:c r="H238" s="14" t="str">
        <x:v>Evra, skráð miðgengi.</x:v>
      </x:c>
    </x:row>
    <x:row r="239">
      <x:c r="A239" s="14" t="str">
        <x:v>gengi</x:v>
      </x:c>
      <x:c r="B239" s="14" t="str">
        <x:v>12/6/2024 12:00:00 AM</x:v>
      </x:c>
      <x:c r="C239" s="21" t="n">
        <x:v>145.7</x:v>
      </x:c>
      <x:c r="D239" s="14" t="str">
        <x:v>ISK/EUR</x:v>
      </x:c>
      <x:c r="E239" s="14" t="str">
        <x:v>SÍ 4064</x:v>
      </x:c>
      <x:c r="F239" s="14" t="str"/>
      <x:c r="G239" s="14" t="str">
        <x:v>Ísland</x:v>
      </x:c>
      <x:c r="H239" s="14" t="str">
        <x:v>Evra, skráð miðgengi.</x:v>
      </x:c>
    </x:row>
    <x:row r="240">
      <x:c r="A240" s="14" t="str">
        <x:v>gengi</x:v>
      </x:c>
      <x:c r="B240" s="14" t="str">
        <x:v>12/9/2024 12:00:00 AM</x:v>
      </x:c>
      <x:c r="C240" s="21" t="n">
        <x:v>145.9</x:v>
      </x:c>
      <x:c r="D240" s="14" t="str">
        <x:v>ISK/EUR</x:v>
      </x:c>
      <x:c r="E240" s="14" t="str">
        <x:v>SÍ 4064</x:v>
      </x:c>
      <x:c r="F240" s="14" t="str"/>
      <x:c r="G240" s="14" t="str">
        <x:v>Ísland</x:v>
      </x:c>
      <x:c r="H240" s="14" t="str">
        <x:v>Evra, skráð miðgengi.</x:v>
      </x:c>
    </x:row>
    <x:row r="241">
      <x:c r="A241" s="14" t="str">
        <x:v>gengi</x:v>
      </x:c>
      <x:c r="B241" s="14" t="str">
        <x:v>12/10/2024 12:00:00 AM</x:v>
      </x:c>
      <x:c r="C241" s="21" t="n">
        <x:v>145.9</x:v>
      </x:c>
      <x:c r="D241" s="14" t="str">
        <x:v>ISK/EUR</x:v>
      </x:c>
      <x:c r="E241" s="14" t="str">
        <x:v>SÍ 4064</x:v>
      </x:c>
      <x:c r="F241" s="14" t="str"/>
      <x:c r="G241" s="14" t="str">
        <x:v>Ísland</x:v>
      </x:c>
      <x:c r="H241" s="14" t="str">
        <x:v>Evra, skráð miðgengi.</x:v>
      </x:c>
    </x:row>
    <x:row r="242">
      <x:c r="A242" s="14" t="str">
        <x:v>gengi</x:v>
      </x:c>
      <x:c r="B242" s="14" t="str">
        <x:v>12/11/2024 12:00:00 AM</x:v>
      </x:c>
      <x:c r="C242" s="21" t="n">
        <x:v>145.9</x:v>
      </x:c>
      <x:c r="D242" s="14" t="str">
        <x:v>ISK/EUR</x:v>
      </x:c>
      <x:c r="E242" s="14" t="str">
        <x:v>SÍ 4064</x:v>
      </x:c>
      <x:c r="F242" s="14" t="str"/>
      <x:c r="G242" s="14" t="str">
        <x:v>Ísland</x:v>
      </x:c>
      <x:c r="H242" s="14" t="str">
        <x:v>Evra, skráð miðgengi.</x:v>
      </x:c>
    </x:row>
    <x:row r="243">
      <x:c r="A243" s="14" t="str">
        <x:v>gengi</x:v>
      </x:c>
      <x:c r="B243" s="14" t="str">
        <x:v>12/12/2024 12:00:00 AM</x:v>
      </x:c>
      <x:c r="C243" s="21" t="n">
        <x:v>145.9</x:v>
      </x:c>
      <x:c r="D243" s="14" t="str">
        <x:v>ISK/EUR</x:v>
      </x:c>
      <x:c r="E243" s="14" t="str">
        <x:v>SÍ 4064</x:v>
      </x:c>
      <x:c r="F243" s="14" t="str"/>
      <x:c r="G243" s="14" t="str">
        <x:v>Ísland</x:v>
      </x:c>
      <x:c r="H243" s="14" t="str">
        <x:v>Evra, skráð miðgengi.</x:v>
      </x:c>
    </x:row>
    <x:row r="244">
      <x:c r="A244" s="14" t="str">
        <x:v>gengi</x:v>
      </x:c>
      <x:c r="B244" s="14" t="str">
        <x:v>12/13/2024 12:00:00 AM</x:v>
      </x:c>
      <x:c r="C244" s="21" t="n">
        <x:v>145.9</x:v>
      </x:c>
      <x:c r="D244" s="14" t="str">
        <x:v>ISK/EUR</x:v>
      </x:c>
      <x:c r="E244" s="14" t="str">
        <x:v>SÍ 4064</x:v>
      </x:c>
      <x:c r="F244" s="14" t="str"/>
      <x:c r="G244" s="14" t="str">
        <x:v>Ísland</x:v>
      </x:c>
      <x:c r="H244" s="14" t="str">
        <x:v>Evra, skráð miðgengi.</x:v>
      </x:c>
    </x:row>
    <x:row r="245">
      <x:c r="A245" s="14" t="str">
        <x:v>gengi</x:v>
      </x:c>
      <x:c r="B245" s="14" t="str">
        <x:v>12/16/2024 12:00:00 AM</x:v>
      </x:c>
      <x:c r="C245" s="21" t="n">
        <x:v>145.1</x:v>
      </x:c>
      <x:c r="D245" s="14" t="str">
        <x:v>ISK/EUR</x:v>
      </x:c>
      <x:c r="E245" s="14" t="str">
        <x:v>SÍ 4064</x:v>
      </x:c>
      <x:c r="F245" s="14" t="str"/>
      <x:c r="G245" s="14" t="str">
        <x:v>Ísland</x:v>
      </x:c>
      <x:c r="H245" s="14" t="str">
        <x:v>Evra, skráð miðgengi.</x:v>
      </x:c>
    </x:row>
    <x:row r="246">
      <x:c r="A246" s="14" t="str">
        <x:v>gengi</x:v>
      </x:c>
      <x:c r="B246" s="14" t="str">
        <x:v>12/17/2024 12:00:00 AM</x:v>
      </x:c>
      <x:c r="C246" s="21" t="n">
        <x:v>144.7</x:v>
      </x:c>
      <x:c r="D246" s="14" t="str">
        <x:v>ISK/EUR</x:v>
      </x:c>
      <x:c r="E246" s="14" t="str">
        <x:v>SÍ 4064</x:v>
      </x:c>
      <x:c r="F246" s="14" t="str"/>
      <x:c r="G246" s="14" t="str">
        <x:v>Ísland</x:v>
      </x:c>
      <x:c r="H246" s="14" t="str">
        <x:v>Evra, skráð miðgengi.</x:v>
      </x:c>
    </x:row>
    <x:row r="247">
      <x:c r="A247" s="14" t="str">
        <x:v>gengi</x:v>
      </x:c>
      <x:c r="B247" s="14" t="str">
        <x:v>12/18/2024 12:00:00 AM</x:v>
      </x:c>
      <x:c r="C247" s="21" t="n">
        <x:v>144.9</x:v>
      </x:c>
      <x:c r="D247" s="14" t="str">
        <x:v>ISK/EUR</x:v>
      </x:c>
      <x:c r="E247" s="14" t="str">
        <x:v>SÍ 4064</x:v>
      </x:c>
      <x:c r="F247" s="14" t="str"/>
      <x:c r="G247" s="14" t="str">
        <x:v>Ísland</x:v>
      </x:c>
      <x:c r="H247" s="14" t="str">
        <x:v>Evra, skráð miðgengi.</x:v>
      </x:c>
    </x:row>
    <x:row r="248">
      <x:c r="A248" s="14" t="str">
        <x:v>gengi</x:v>
      </x:c>
      <x:c r="B248" s="14" t="str">
        <x:v>12/19/2024 12:00:00 AM</x:v>
      </x:c>
      <x:c r="C248" s="21" t="n">
        <x:v>144.7</x:v>
      </x:c>
      <x:c r="D248" s="14" t="str">
        <x:v>ISK/EUR</x:v>
      </x:c>
      <x:c r="E248" s="14" t="str">
        <x:v>SÍ 4064</x:v>
      </x:c>
      <x:c r="F248" s="14" t="str"/>
      <x:c r="G248" s="14" t="str">
        <x:v>Ísland</x:v>
      </x:c>
      <x:c r="H248" s="14" t="str">
        <x:v>Evra, skráð miðgengi.</x:v>
      </x:c>
    </x:row>
    <x:row r="249">
      <x:c r="A249" s="14" t="str">
        <x:v>gengi</x:v>
      </x:c>
      <x:c r="B249" s="14" t="str">
        <x:v>12/20/2024 12:00:00 AM</x:v>
      </x:c>
      <x:c r="C249" s="21" t="n">
        <x:v>144.7</x:v>
      </x:c>
      <x:c r="D249" s="14" t="str">
        <x:v>ISK/EUR</x:v>
      </x:c>
      <x:c r="E249" s="14" t="str">
        <x:v>SÍ 4064</x:v>
      </x:c>
      <x:c r="F249" s="14" t="str"/>
      <x:c r="G249" s="14" t="str">
        <x:v>Ísland</x:v>
      </x:c>
      <x:c r="H249" s="14" t="str">
        <x:v>Evra, skráð miðgengi.</x:v>
      </x:c>
    </x:row>
    <x:row r="250">
      <x:c r="A250" s="14" t="str">
        <x:v>gengi</x:v>
      </x:c>
      <x:c r="B250" s="14" t="str">
        <x:v>12/23/2024 12:00:00 AM</x:v>
      </x:c>
      <x:c r="C250" s="21" t="n">
        <x:v>145.1</x:v>
      </x:c>
      <x:c r="D250" s="14" t="str">
        <x:v>ISK/EUR</x:v>
      </x:c>
      <x:c r="E250" s="14" t="str">
        <x:v>SÍ 4064</x:v>
      </x:c>
      <x:c r="F250" s="14" t="str"/>
      <x:c r="G250" s="14" t="str">
        <x:v>Ísland</x:v>
      </x:c>
      <x:c r="H250" s="14" t="str">
        <x:v>Evra, skráð miðgengi.</x:v>
      </x:c>
    </x:row>
    <x:row r="251">
      <x:c r="A251" s="14" t="str">
        <x:v>gengi</x:v>
      </x:c>
      <x:c r="B251" s="14" t="str">
        <x:v>12/27/2024 12:00:00 AM</x:v>
      </x:c>
      <x:c r="C251" s="21" t="n">
        <x:v>145.1</x:v>
      </x:c>
      <x:c r="D251" s="14" t="str">
        <x:v>ISK/EUR</x:v>
      </x:c>
      <x:c r="E251" s="14" t="str">
        <x:v>SÍ 4064</x:v>
      </x:c>
      <x:c r="F251" s="14" t="str"/>
      <x:c r="G251" s="14" t="str">
        <x:v>Ísland</x:v>
      </x:c>
      <x:c r="H251" s="14" t="str">
        <x:v>Evra, skráð miðgengi.</x:v>
      </x:c>
    </x:row>
    <x:row r="252">
      <x:c r="A252" s="14" t="str">
        <x:v>gengi</x:v>
      </x:c>
      <x:c r="B252" s="14" t="str">
        <x:v>12/30/2024 12:00:00 AM</x:v>
      </x:c>
      <x:c r="C252" s="21" t="n">
        <x:v>143.9</x:v>
      </x:c>
      <x:c r="D252" s="14" t="str">
        <x:v>ISK/EUR</x:v>
      </x:c>
      <x:c r="E252" s="14" t="str">
        <x:v>SÍ 4064</x:v>
      </x:c>
      <x:c r="F252" s="14" t="str"/>
      <x:c r="G252" s="14" t="str">
        <x:v>Ísland</x:v>
      </x:c>
      <x:c r="H252" s="14" t="str">
        <x:v>Evra, skráð miðgengi.</x:v>
      </x:c>
    </x:row>
    <x:row r="253">
      <x:c r="A253" s="14" t="str">
        <x:v>gengi</x:v>
      </x:c>
      <x:c r="B253" s="14" t="str">
        <x:v>12/31/2024 12:00:00 AM</x:v>
      </x:c>
      <x:c r="C253" s="21" t="n">
        <x:v>143.9</x:v>
      </x:c>
      <x:c r="D253" s="14" t="str">
        <x:v>ISK/EUR</x:v>
      </x:c>
      <x:c r="E253" s="14" t="str">
        <x:v>SÍ 4064</x:v>
      </x:c>
      <x:c r="F253" s="14" t="str"/>
      <x:c r="G253" s="14" t="str">
        <x:v>Ísland</x:v>
      </x:c>
      <x:c r="H253" s="14" t="str">
        <x:v>Evra, skráð miðgengi.</x:v>
      </x:c>
    </x:row>
    <x:row r="254">
      <x:c r="A254" s="14" t="str">
        <x:v>mannfjöldi</x:v>
      </x:c>
      <x:c r="B254" s="14" t="n">
        <x:v>2019</x:v>
      </x:c>
      <x:c r="C254" s="21" t="n">
        <x:v>356991</x:v>
      </x:c>
      <x:c r="D254" s="14" t="str">
        <x:v>fjöldi</x:v>
      </x:c>
      <x:c r="E254" s="14" t="str">
        <x:v>demo_pjan</x:v>
      </x:c>
      <x:c r="F254" s="14" t="str"/>
      <x:c r="G254" s="14" t="str">
        <x:v>Ísland</x:v>
      </x:c>
      <x:c r="H254" s="14" t="str">
        <x:v>1. janúar</x:v>
      </x:c>
    </x:row>
    <x:row r="255">
      <x:c r="A255" s="14" t="str">
        <x:v>mannfjöldi</x:v>
      </x:c>
      <x:c r="B255" s="14" t="n">
        <x:v>2020</x:v>
      </x:c>
      <x:c r="C255" s="21" t="n">
        <x:v>364134</x:v>
      </x:c>
      <x:c r="D255" s="14" t="str">
        <x:v>fjöldi</x:v>
      </x:c>
      <x:c r="E255" s="14" t="str">
        <x:v>demo_pjan</x:v>
      </x:c>
      <x:c r="F255" s="14" t="str"/>
      <x:c r="G255" s="14" t="str">
        <x:v>Ísland</x:v>
      </x:c>
      <x:c r="H255" s="14" t="str">
        <x:v>1. janúar</x:v>
      </x:c>
    </x:row>
    <x:row r="256">
      <x:c r="A256" s="14" t="str">
        <x:v>mannfjöldi</x:v>
      </x:c>
      <x:c r="B256" s="14" t="n">
        <x:v>2021</x:v>
      </x:c>
      <x:c r="C256" s="21" t="n">
        <x:v>368792</x:v>
      </x:c>
      <x:c r="D256" s="14" t="str">
        <x:v>fjöldi</x:v>
      </x:c>
      <x:c r="E256" s="14" t="str">
        <x:v>demo_pjan</x:v>
      </x:c>
      <x:c r="F256" s="14" t="str"/>
      <x:c r="G256" s="14" t="str">
        <x:v>Ísland</x:v>
      </x:c>
      <x:c r="H256" s="14" t="str">
        <x:v>1. janúar</x:v>
      </x:c>
    </x:row>
    <x:row r="257">
      <x:c r="A257" s="14" t="str">
        <x:v>mannfjöldi</x:v>
      </x:c>
      <x:c r="B257" s="14" t="n">
        <x:v>2023</x:v>
      </x:c>
      <x:c r="C257" s="21" t="n">
        <x:v>387758</x:v>
      </x:c>
      <x:c r="D257" s="14" t="str">
        <x:v>fjöldi</x:v>
      </x:c>
      <x:c r="E257" s="14" t="str">
        <x:v>demo_pjan</x:v>
      </x:c>
      <x:c r="F257" s="14" t="str"/>
      <x:c r="G257" s="14" t="str">
        <x:v>Ísland</x:v>
      </x:c>
      <x:c r="H257" s="14" t="str">
        <x:v>1. janúar</x:v>
      </x:c>
    </x:row>
    <x:row r="258">
      <x:c r="A258" s="14" t="str">
        <x:v>mannfjöldi</x:v>
      </x:c>
      <x:c r="B258" s="14" t="n">
        <x:v>2024</x:v>
      </x:c>
      <x:c r="C258" s="21" t="n">
        <x:v>383567</x:v>
      </x:c>
      <x:c r="D258" s="14" t="str">
        <x:v>fjöldi</x:v>
      </x:c>
      <x:c r="E258" s="14" t="str">
        <x:v>demo_pjan</x:v>
      </x:c>
      <x:c r="F258" s="14" t="str"/>
      <x:c r="G258" s="14" t="str">
        <x:v>Ísland</x:v>
      </x:c>
      <x:c r="H258" s="14" t="str">
        <x:v>1. janúar</x:v>
      </x:c>
    </x:row>
    <x:row r="259">
      <x:c r="A259" s="14" t="str">
        <x:v>mannfjöldi</x:v>
      </x:c>
      <x:c r="B259" s="14" t="n">
        <x:v>2025</x:v>
      </x:c>
      <x:c r="C259" s="21" t="n">
        <x:v>389444</x:v>
      </x:c>
      <x:c r="D259" s="14" t="str">
        <x:v>fjöldi</x:v>
      </x:c>
      <x:c r="E259" s="14" t="str">
        <x:v>demo_pjan</x:v>
      </x:c>
      <x:c r="F259" s="14" t="str"/>
      <x:c r="G259" s="14" t="str">
        <x:v>Ísland</x:v>
      </x:c>
      <x:c r="H259" s="14" t="str">
        <x:v>1. janúar</x:v>
      </x:c>
    </x:row>
    <x:row r="260">
      <x:c r="A260" s="14" t="str">
        <x:v>B6N núverandi</x:v>
      </x:c>
      <x:c r="B260" s="14" t="n">
        <x:v>2000</x:v>
      </x:c>
      <x:c r="C260" s="21" t="n">
        <x:v>316903</x:v>
      </x:c>
      <x:c r="D260" s="14" t="str">
        <x:v>m.kr.</x:v>
      </x:c>
      <x:c r="E260" s="14" t="str">
        <x:v>THJ06020 code 7</x:v>
      </x:c>
      <x:c r="F260" s="14" t="str"/>
      <x:c r="G260" s="14" t="str">
        <x:v>Ísland</x:v>
      </x:c>
      <x:c r="H260" s="14" t="str">
        <x:v>Hreinar ráðstöfunartekjur heimila</x:v>
      </x:c>
    </x:row>
    <x:row r="261">
      <x:c r="A261" s="14" t="str">
        <x:v>B6N núverandi</x:v>
      </x:c>
      <x:c r="B261" s="14" t="n">
        <x:v>2001</x:v>
      </x:c>
      <x:c r="C261" s="21" t="n">
        <x:v>339079</x:v>
      </x:c>
      <x:c r="D261" s="14" t="str">
        <x:v>m.kr.</x:v>
      </x:c>
      <x:c r="E261" s="14" t="str">
        <x:v>THJ06020 code 7</x:v>
      </x:c>
      <x:c r="F261" s="14" t="str"/>
      <x:c r="G261" s="14" t="str">
        <x:v>Ísland</x:v>
      </x:c>
      <x:c r="H261" s="14" t="str">
        <x:v>Hreinar ráðstöfunartekjur heimila</x:v>
      </x:c>
    </x:row>
    <x:row r="262">
      <x:c r="A262" s="14" t="str">
        <x:v>B6N núverandi</x:v>
      </x:c>
      <x:c r="B262" s="14" t="n">
        <x:v>2002</x:v>
      </x:c>
      <x:c r="C262" s="21" t="n">
        <x:v>365748</x:v>
      </x:c>
      <x:c r="D262" s="14" t="str">
        <x:v>m.kr.</x:v>
      </x:c>
      <x:c r="E262" s="14" t="str">
        <x:v>THJ06020 code 7</x:v>
      </x:c>
      <x:c r="F262" s="14" t="str"/>
      <x:c r="G262" s="14" t="str">
        <x:v>Ísland</x:v>
      </x:c>
      <x:c r="H262" s="14" t="str">
        <x:v>Hreinar ráðstöfunartekjur heimila</x:v>
      </x:c>
    </x:row>
    <x:row r="263">
      <x:c r="A263" s="14" t="str">
        <x:v>B6N núverandi</x:v>
      </x:c>
      <x:c r="B263" s="14" t="n">
        <x:v>2003</x:v>
      </x:c>
      <x:c r="C263" s="21" t="n">
        <x:v>384435</x:v>
      </x:c>
      <x:c r="D263" s="14" t="str">
        <x:v>m.kr.</x:v>
      </x:c>
      <x:c r="E263" s="14" t="str">
        <x:v>THJ06020 code 7</x:v>
      </x:c>
      <x:c r="F263" s="14" t="str"/>
      <x:c r="G263" s="14" t="str">
        <x:v>Ísland</x:v>
      </x:c>
      <x:c r="H263" s="14" t="str">
        <x:v>Hreinar ráðstöfunartekjur heimila</x:v>
      </x:c>
    </x:row>
    <x:row r="264">
      <x:c r="A264" s="14" t="str">
        <x:v>B6N núverandi</x:v>
      </x:c>
      <x:c r="B264" s="14" t="n">
        <x:v>2004</x:v>
      </x:c>
      <x:c r="C264" s="21" t="n">
        <x:v>411033</x:v>
      </x:c>
      <x:c r="D264" s="14" t="str">
        <x:v>m.kr.</x:v>
      </x:c>
      <x:c r="E264" s="14" t="str">
        <x:v>THJ06020 code 7</x:v>
      </x:c>
      <x:c r="F264" s="14" t="str"/>
      <x:c r="G264" s="14" t="str">
        <x:v>Ísland</x:v>
      </x:c>
      <x:c r="H264" s="14" t="str">
        <x:v>Hreinar ráðstöfunartekjur heimila</x:v>
      </x:c>
    </x:row>
    <x:row r="265">
      <x:c r="A265" s="14" t="str">
        <x:v>B6N núverandi</x:v>
      </x:c>
      <x:c r="B265" s="14" t="n">
        <x:v>2005</x:v>
      </x:c>
      <x:c r="C265" s="21" t="n">
        <x:v>465351</x:v>
      </x:c>
      <x:c r="D265" s="14" t="str">
        <x:v>m.kr.</x:v>
      </x:c>
      <x:c r="E265" s="14" t="str">
        <x:v>THJ06020 code 7</x:v>
      </x:c>
      <x:c r="F265" s="14" t="str"/>
      <x:c r="G265" s="14" t="str">
        <x:v>Ísland</x:v>
      </x:c>
      <x:c r="H265" s="14" t="str">
        <x:v>Hreinar ráðstöfunartekjur heimila</x:v>
      </x:c>
    </x:row>
    <x:row r="266">
      <x:c r="A266" s="14" t="str">
        <x:v>B6N núverandi</x:v>
      </x:c>
      <x:c r="B266" s="14" t="n">
        <x:v>2006</x:v>
      </x:c>
      <x:c r="C266" s="21" t="n">
        <x:v>551875</x:v>
      </x:c>
      <x:c r="D266" s="14" t="str">
        <x:v>m.kr.</x:v>
      </x:c>
      <x:c r="E266" s="14" t="str">
        <x:v>THJ06020 code 7</x:v>
      </x:c>
      <x:c r="F266" s="14" t="str"/>
      <x:c r="G266" s="14" t="str">
        <x:v>Ísland</x:v>
      </x:c>
      <x:c r="H266" s="14" t="str">
        <x:v>Hreinar ráðstöfunartekjur heimila</x:v>
      </x:c>
    </x:row>
    <x:row r="267">
      <x:c r="A267" s="14" t="str">
        <x:v>B6N núverandi</x:v>
      </x:c>
      <x:c r="B267" s="14" t="n">
        <x:v>2007</x:v>
      </x:c>
      <x:c r="C267" s="21" t="n">
        <x:v>645790</x:v>
      </x:c>
      <x:c r="D267" s="14" t="str">
        <x:v>m.kr.</x:v>
      </x:c>
      <x:c r="E267" s="14" t="str">
        <x:v>THJ06020 code 7</x:v>
      </x:c>
      <x:c r="F267" s="14" t="str"/>
      <x:c r="G267" s="14" t="str">
        <x:v>Ísland</x:v>
      </x:c>
      <x:c r="H267" s="14" t="str">
        <x:v>Hreinar ráðstöfunartekjur heimila</x:v>
      </x:c>
    </x:row>
    <x:row r="268">
      <x:c r="A268" s="14" t="str">
        <x:v>B6N núverandi</x:v>
      </x:c>
      <x:c r="B268" s="14" t="n">
        <x:v>2008</x:v>
      </x:c>
      <x:c r="C268" s="21" t="n">
        <x:v>751472</x:v>
      </x:c>
      <x:c r="D268" s="14" t="str">
        <x:v>m.kr.</x:v>
      </x:c>
      <x:c r="E268" s="14" t="str">
        <x:v>THJ06020 code 7</x:v>
      </x:c>
      <x:c r="F268" s="14" t="str"/>
      <x:c r="G268" s="14" t="str">
        <x:v>Ísland</x:v>
      </x:c>
      <x:c r="H268" s="14" t="str">
        <x:v>Hreinar ráðstöfunartekjur heimila</x:v>
      </x:c>
    </x:row>
    <x:row r="269">
      <x:c r="A269" s="14" t="str">
        <x:v>B6N núverandi</x:v>
      </x:c>
      <x:c r="B269" s="14" t="n">
        <x:v>2009</x:v>
      </x:c>
      <x:c r="C269" s="21" t="n">
        <x:v>709091</x:v>
      </x:c>
      <x:c r="D269" s="14" t="str">
        <x:v>m.kr.</x:v>
      </x:c>
      <x:c r="E269" s="14" t="str">
        <x:v>THJ06020 code 7</x:v>
      </x:c>
      <x:c r="F269" s="14" t="str"/>
      <x:c r="G269" s="14" t="str">
        <x:v>Ísland</x:v>
      </x:c>
      <x:c r="H269" s="14" t="str">
        <x:v>Hreinar ráðstöfunartekjur heimila</x:v>
      </x:c>
    </x:row>
    <x:row r="270">
      <x:c r="A270" s="14" t="str">
        <x:v>B6N núverandi</x:v>
      </x:c>
      <x:c r="B270" s="14" t="n">
        <x:v>2010</x:v>
      </x:c>
      <x:c r="C270" s="21" t="n">
        <x:v>636427</x:v>
      </x:c>
      <x:c r="D270" s="14" t="str">
        <x:v>m.kr.</x:v>
      </x:c>
      <x:c r="E270" s="14" t="str">
        <x:v>THJ06020 code 7</x:v>
      </x:c>
      <x:c r="F270" s="14" t="str"/>
      <x:c r="G270" s="14" t="str">
        <x:v>Ísland</x:v>
      </x:c>
      <x:c r="H270" s="14" t="str">
        <x:v>Hreinar ráðstöfunartekjur heimila</x:v>
      </x:c>
    </x:row>
    <x:row r="271">
      <x:c r="A271" s="14" t="str">
        <x:v>B6N núverandi</x:v>
      </x:c>
      <x:c r="B271" s="14" t="n">
        <x:v>2011</x:v>
      </x:c>
      <x:c r="C271" s="21" t="n">
        <x:v>703174</x:v>
      </x:c>
      <x:c r="D271" s="14" t="str">
        <x:v>m.kr.</x:v>
      </x:c>
      <x:c r="E271" s="14" t="str">
        <x:v>THJ06020 code 7</x:v>
      </x:c>
      <x:c r="F271" s="14" t="str"/>
      <x:c r="G271" s="14" t="str">
        <x:v>Ísland</x:v>
      </x:c>
      <x:c r="H271" s="14" t="str">
        <x:v>Hreinar ráðstöfunartekjur heimila</x:v>
      </x:c>
    </x:row>
    <x:row r="272">
      <x:c r="A272" s="14" t="str">
        <x:v>B6N núverandi</x:v>
      </x:c>
      <x:c r="B272" s="14" t="n">
        <x:v>2012</x:v>
      </x:c>
      <x:c r="C272" s="21" t="n">
        <x:v>757443</x:v>
      </x:c>
      <x:c r="D272" s="14" t="str">
        <x:v>m.kr.</x:v>
      </x:c>
      <x:c r="E272" s="14" t="str">
        <x:v>THJ06020 code 7</x:v>
      </x:c>
      <x:c r="F272" s="14" t="str"/>
      <x:c r="G272" s="14" t="str">
        <x:v>Ísland</x:v>
      </x:c>
      <x:c r="H272" s="14" t="str">
        <x:v>Hreinar ráðstöfunartekjur heimila</x:v>
      </x:c>
    </x:row>
    <x:row r="273">
      <x:c r="A273" s="14" t="str">
        <x:v>B6N núverandi</x:v>
      </x:c>
      <x:c r="B273" s="14" t="n">
        <x:v>2013</x:v>
      </x:c>
      <x:c r="C273" s="21" t="n">
        <x:v>797598</x:v>
      </x:c>
      <x:c r="D273" s="14" t="str">
        <x:v>m.kr.</x:v>
      </x:c>
      <x:c r="E273" s="14" t="str">
        <x:v>THJ06020 code 7</x:v>
      </x:c>
      <x:c r="F273" s="14" t="str"/>
      <x:c r="G273" s="14" t="str">
        <x:v>Ísland</x:v>
      </x:c>
      <x:c r="H273" s="14" t="str">
        <x:v>Hreinar ráðstöfunartekjur heimila</x:v>
      </x:c>
    </x:row>
    <x:row r="274">
      <x:c r="A274" s="14" t="str">
        <x:v>B6N núverandi</x:v>
      </x:c>
      <x:c r="B274" s="14" t="n">
        <x:v>2014</x:v>
      </x:c>
      <x:c r="C274" s="21" t="n">
        <x:v>860787</x:v>
      </x:c>
      <x:c r="D274" s="14" t="str">
        <x:v>m.kr.</x:v>
      </x:c>
      <x:c r="E274" s="14" t="str">
        <x:v>THJ06020 code 7</x:v>
      </x:c>
      <x:c r="F274" s="14" t="str"/>
      <x:c r="G274" s="14" t="str">
        <x:v>Ísland</x:v>
      </x:c>
      <x:c r="H274" s="14" t="str">
        <x:v>Hreinar ráðstöfunartekjur heimila</x:v>
      </x:c>
    </x:row>
    <x:row r="275">
      <x:c r="A275" s="14" t="str">
        <x:v>B6N núverandi</x:v>
      </x:c>
      <x:c r="B275" s="14" t="n">
        <x:v>2015</x:v>
      </x:c>
      <x:c r="C275" s="21" t="n">
        <x:v>972600</x:v>
      </x:c>
      <x:c r="D275" s="14" t="str">
        <x:v>m.kr.</x:v>
      </x:c>
      <x:c r="E275" s="14" t="str">
        <x:v>THJ06020 code 7</x:v>
      </x:c>
      <x:c r="F275" s="14" t="str"/>
      <x:c r="G275" s="14" t="str">
        <x:v>Ísland</x:v>
      </x:c>
      <x:c r="H275" s="14" t="str">
        <x:v>Hreinar ráðstöfunartekjur heimila</x:v>
      </x:c>
    </x:row>
    <x:row r="276">
      <x:c r="A276" s="14" t="str">
        <x:v>B6N núverandi</x:v>
      </x:c>
      <x:c r="B276" s="14" t="n">
        <x:v>2016</x:v>
      </x:c>
      <x:c r="C276" s="21" t="n">
        <x:v>1058250</x:v>
      </x:c>
      <x:c r="D276" s="14" t="str">
        <x:v>m.kr.</x:v>
      </x:c>
      <x:c r="E276" s="14" t="str">
        <x:v>THJ06020 code 7</x:v>
      </x:c>
      <x:c r="F276" s="14" t="str"/>
      <x:c r="G276" s="14" t="str">
        <x:v>Ísland</x:v>
      </x:c>
      <x:c r="H276" s="14" t="str">
        <x:v>Hreinar ráðstöfunartekjur heimila</x:v>
      </x:c>
    </x:row>
    <x:row r="277">
      <x:c r="A277" s="14" t="str">
        <x:v>B6N núverandi</x:v>
      </x:c>
      <x:c r="B277" s="14" t="n">
        <x:v>2017</x:v>
      </x:c>
      <x:c r="C277" s="21" t="n">
        <x:v>1148337</x:v>
      </x:c>
      <x:c r="D277" s="14" t="str">
        <x:v>m.kr.</x:v>
      </x:c>
      <x:c r="E277" s="14" t="str">
        <x:v>THJ06020 code 7</x:v>
      </x:c>
      <x:c r="F277" s="14" t="str"/>
      <x:c r="G277" s="14" t="str">
        <x:v>Ísland</x:v>
      </x:c>
      <x:c r="H277" s="14" t="str">
        <x:v>Hreinar ráðstöfunartekjur heimila</x:v>
      </x:c>
    </x:row>
    <x:row r="278">
      <x:c r="A278" s="14" t="str">
        <x:v>B6N núverandi</x:v>
      </x:c>
      <x:c r="B278" s="14" t="n">
        <x:v>2018</x:v>
      </x:c>
      <x:c r="C278" s="21" t="n">
        <x:v>1244456</x:v>
      </x:c>
      <x:c r="D278" s="14" t="str">
        <x:v>m.kr.</x:v>
      </x:c>
      <x:c r="E278" s="14" t="str">
        <x:v>THJ06020 code 7</x:v>
      </x:c>
      <x:c r="F278" s="14" t="str"/>
      <x:c r="G278" s="14" t="str">
        <x:v>Ísland</x:v>
      </x:c>
      <x:c r="H278" s="14" t="str">
        <x:v>Hreinar ráðstöfunartekjur heimila</x:v>
      </x:c>
    </x:row>
    <x:row r="279">
      <x:c r="A279" s="14" t="str">
        <x:v>B6N núverandi</x:v>
      </x:c>
      <x:c r="B279" s="14" t="n">
        <x:v>2019</x:v>
      </x:c>
      <x:c r="C279" s="21" t="n">
        <x:v>1328002</x:v>
      </x:c>
      <x:c r="D279" s="14" t="str">
        <x:v>m.kr.</x:v>
      </x:c>
      <x:c r="E279" s="14" t="str">
        <x:v>THJ06020 code 7</x:v>
      </x:c>
      <x:c r="F279" s="14" t="str"/>
      <x:c r="G279" s="14" t="str">
        <x:v>Ísland</x:v>
      </x:c>
      <x:c r="H279" s="14" t="str">
        <x:v>Hreinar ráðstöfunartekjur heimila</x:v>
      </x:c>
    </x:row>
    <x:row r="280">
      <x:c r="A280" s="14" t="str">
        <x:v>B6N núverandi</x:v>
      </x:c>
      <x:c r="B280" s="14" t="n">
        <x:v>2020</x:v>
      </x:c>
      <x:c r="C280" s="21" t="n">
        <x:v>1424499</x:v>
      </x:c>
      <x:c r="D280" s="14" t="str">
        <x:v>m.kr.</x:v>
      </x:c>
      <x:c r="E280" s="14" t="str">
        <x:v>THJ06020 code 7</x:v>
      </x:c>
      <x:c r="F280" s="14" t="str"/>
      <x:c r="G280" s="14" t="str">
        <x:v>Ísland</x:v>
      </x:c>
      <x:c r="H280" s="14" t="str">
        <x:v>Hreinar ráðstöfunartekjur heimila</x:v>
      </x:c>
    </x:row>
    <x:row r="281">
      <x:c r="A281" s="14" t="str">
        <x:v>B6N núverandi</x:v>
      </x:c>
      <x:c r="B281" s="14" t="n">
        <x:v>2021</x:v>
      </x:c>
      <x:c r="C281" s="21" t="n">
        <x:v>1569187</x:v>
      </x:c>
      <x:c r="D281" s="14" t="str">
        <x:v>m.kr.</x:v>
      </x:c>
      <x:c r="E281" s="14" t="str">
        <x:v>THJ06020 code 7</x:v>
      </x:c>
      <x:c r="F281" s="14" t="str"/>
      <x:c r="G281" s="14" t="str">
        <x:v>Ísland</x:v>
      </x:c>
      <x:c r="H281" s="14" t="str">
        <x:v>Hreinar ráðstöfunartekjur heimila</x:v>
      </x:c>
    </x:row>
    <x:row r="282">
      <x:c r="A282" s="14" t="str">
        <x:v>B6N núverandi</x:v>
      </x:c>
      <x:c r="B282" s="14" t="n">
        <x:v>2022</x:v>
      </x:c>
      <x:c r="C282" s="21" t="n">
        <x:v>1732709</x:v>
      </x:c>
      <x:c r="D282" s="14" t="str">
        <x:v>m.kr.</x:v>
      </x:c>
      <x:c r="E282" s="14" t="str">
        <x:v>THJ06020 code 7</x:v>
      </x:c>
      <x:c r="F282" s="14" t="str"/>
      <x:c r="G282" s="14" t="str">
        <x:v>Ísland</x:v>
      </x:c>
      <x:c r="H282" s="14" t="str">
        <x:v>Hreinar ráðstöfunartekjur heimila</x:v>
      </x:c>
    </x:row>
    <x:row r="283">
      <x:c r="A283" s="14" t="str">
        <x:v>B6N núverandi</x:v>
      </x:c>
      <x:c r="B283" s="14" t="n">
        <x:v>2023</x:v>
      </x:c>
      <x:c r="C283" s="21" t="n">
        <x:v>1994355</x:v>
      </x:c>
      <x:c r="D283" s="14" t="str">
        <x:v>m.kr.</x:v>
      </x:c>
      <x:c r="E283" s="14" t="str">
        <x:v>THJ06020 code 7</x:v>
      </x:c>
      <x:c r="F283" s="14" t="str"/>
      <x:c r="G283" s="14" t="str">
        <x:v>Ísland</x:v>
      </x:c>
      <x:c r="H283" s="14" t="str">
        <x:v>Hreinar ráðstöfunartekjur heimila</x:v>
      </x:c>
    </x:row>
    <x:row r="284">
      <x:c r="A284" s="14" t="str">
        <x:v>B6N núverandi</x:v>
      </x:c>
      <x:c r="B284" s="14" t="n">
        <x:v>2024</x:v>
      </x:c>
      <x:c r="C284" s="21" t="n">
        <x:v>2203646</x:v>
      </x:c>
      <x:c r="D284" s="14" t="str">
        <x:v>m.kr.</x:v>
      </x:c>
      <x:c r="E284" s="14" t="str">
        <x:v>THJ06020 code 7</x:v>
      </x:c>
      <x:c r="F284" s="14" t="str"/>
      <x:c r="G284" s="14" t="str">
        <x:v>Ísland</x:v>
      </x:c>
      <x:c r="H284" s="14" t="str">
        <x:v>Hreinar ráðstöfunartekjur heimila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20" hidden="0" customWidth="1"/>
    <x:col min="4" max="4" width="22" hidden="0" customWidth="1"/>
    <x:col min="5" max="5" width="15" hidden="0" customWidth="1"/>
    <x:col min="6" max="6" width="13" hidden="0" customWidth="1"/>
    <x:col min="7" max="7" width="20" hidden="0" customWidth="1"/>
    <x:col min="8" max="8" width="14" hidden="0" customWidth="1"/>
  </x:cols>
  <x:sheetData>
    <x:row r="1" ht="30" customHeight="1">
      <x:c r="A1" s="3" t="str">
        <x:v>Loka-myndgögn</x:v>
      </x:c>
      <x:c r="B1" s="3" t="str">
        <x:v>Loka-myndgögn</x:v>
      </x:c>
      <x:c r="C1" s="3" t="str">
        <x:v>Loka-myndgögn</x:v>
      </x:c>
      <x:c r="D1" s="3" t="str">
        <x:v>Loka-myndgögn</x:v>
      </x:c>
      <x:c r="E1" s="3" t="str">
        <x:v>Loka-myndgögn</x:v>
      </x:c>
      <x:c r="F1" s="3" t="str">
        <x:v>Loka-myndgögn</x:v>
      </x:c>
      <x:c r="G1" s="3" t="str">
        <x:v>Loka-myndgögn</x:v>
      </x:c>
      <x:c r="H1" s="3" t="str">
        <x:v>Loka-myndgögn</x:v>
      </x:c>
    </x:row>
    <x:row r="2" ht="32" customHeight="1">
      <x:c r="A2" s="7" t="str">
        <x:v>Vinstri: A01 deilt með tekjuhlutfalli. Hægri: hefðbundinn E011-verðlagsvísir einkaneyslu heimila</x:v>
      </x:c>
      <x:c r="B2" s="7" t="str">
        <x:v>Vinstri: A01 deilt með tekjuhlutfalli. Hægri: hefðbundinn E011-verðlagsvísir einkaneyslu heimila</x:v>
      </x:c>
      <x:c r="C2" s="7" t="str">
        <x:v>Vinstri: A01 deilt með tekjuhlutfalli. Hægri: hefðbundinn E011-verðlagsvísir einkaneyslu heimila</x:v>
      </x:c>
      <x:c r="D2" s="7" t="str">
        <x:v>Vinstri: A01 deilt með tekjuhlutfalli. Hægri: hefðbundinn E011-verðlagsvísir einkaneyslu heimila</x:v>
      </x:c>
      <x:c r="E2" s="7" t="str">
        <x:v>Vinstri: A01 deilt með tekjuhlutfalli. Hægri: hefðbundinn E011-verðlagsvísir einkaneyslu heimila</x:v>
      </x:c>
      <x:c r="F2" s="7" t="str">
        <x:v>Vinstri: A01 deilt með tekjuhlutfalli. Hægri: hefðbundinn E011-verðlagsvísir einkaneyslu heimila</x:v>
      </x:c>
      <x:c r="G2" s="7" t="str">
        <x:v>Vinstri: A01 deilt með tekjuhlutfalli. Hægri: hefðbundinn E011-verðlagsvísir einkaneyslu heimila</x:v>
      </x:c>
      <x:c r="H2" s="7" t="str">
        <x:v>Vinstri: A01 deilt með tekjuhlutfalli. Hægri: hefðbundinn E011-verðlagsvísir einkaneyslu heimila</x:v>
      </x:c>
    </x:row>
    <x:row r="4">
      <x:c r="A4" s="12" t="str">
        <x:v>vinstri_sæti</x:v>
      </x:c>
      <x:c r="B4" s="12" t="str">
        <x:v>vinstri_geo</x:v>
      </x:c>
      <x:c r="C4" s="12" t="str">
        <x:v>vinstri_land</x:v>
      </x:c>
      <x:c r="D4" s="12" t="str">
        <x:v>tekjuleiðrétt_A01</x:v>
      </x:c>
      <x:c r="E4" s="12" t="str">
        <x:v>hægri_sæti</x:v>
      </x:c>
      <x:c r="F4" s="12" t="str">
        <x:v>hægri_geo</x:v>
      </x:c>
      <x:c r="G4" s="12" t="str">
        <x:v>hægri_land</x:v>
      </x:c>
      <x:c r="H4" s="12" t="str">
        <x:v>PLI_E011</x:v>
      </x:c>
    </x:row>
    <x:row r="5">
      <x:c r="A5" s="18" t="n">
        <x:v>1</x:v>
      </x:c>
      <x:c r="B5" s="14" t="str">
        <x:v>SK</x:v>
      </x:c>
      <x:c r="C5" s="14" t="str">
        <x:v>Slóvakía</x:v>
      </x:c>
      <x:c r="D5" s="46" t="n">
        <x:v>172.0873267132042</x:v>
      </x:c>
      <x:c r="E5" s="50" t="n">
        <x:v>1</x:v>
      </x:c>
      <x:c r="F5" s="40" t="str">
        <x:v>IS</x:v>
      </x:c>
      <x:c r="G5" s="40" t="str">
        <x:v>Ísland</x:v>
      </x:c>
      <x:c r="H5" s="42" t="n">
        <x:v>161.7</x:v>
      </x:c>
    </x:row>
    <x:row r="6">
      <x:c r="A6" s="18" t="n">
        <x:v>2</x:v>
      </x:c>
      <x:c r="B6" s="14" t="str">
        <x:v>HU</x:v>
      </x:c>
      <x:c r="C6" s="14" t="str">
        <x:v>Ungverjaland</x:v>
      </x:c>
      <x:c r="D6" s="46" t="n">
        <x:v>167.22071469086782</x:v>
      </x:c>
      <x:c r="E6" s="18" t="n">
        <x:v>2</x:v>
      </x:c>
      <x:c r="F6" s="14" t="str">
        <x:v>DK</x:v>
      </x:c>
      <x:c r="G6" s="14" t="str">
        <x:v>Danmörk</x:v>
      </x:c>
      <x:c r="H6" s="19" t="n">
        <x:v>143.1</x:v>
      </x:c>
    </x:row>
    <x:row r="7">
      <x:c r="A7" s="18" t="n">
        <x:v>3</x:v>
      </x:c>
      <x:c r="B7" s="14" t="str">
        <x:v>EL</x:v>
      </x:c>
      <x:c r="C7" s="14" t="str">
        <x:v>Grikkland</x:v>
      </x:c>
      <x:c r="D7" s="46" t="n">
        <x:v>165.0973271889401</x:v>
      </x:c>
      <x:c r="E7" s="18" t="n">
        <x:v>3</x:v>
      </x:c>
      <x:c r="F7" s="14" t="str">
        <x:v>IE</x:v>
      </x:c>
      <x:c r="G7" s="14" t="str">
        <x:v>Írland</x:v>
      </x:c>
      <x:c r="H7" s="19" t="n">
        <x:v>138.1</x:v>
      </x:c>
    </x:row>
    <x:row r="8">
      <x:c r="A8" s="18" t="n">
        <x:v>4</x:v>
      </x:c>
      <x:c r="B8" s="14" t="str">
        <x:v>RO</x:v>
      </x:c>
      <x:c r="C8" s="14" t="str">
        <x:v>Rúmenía</x:v>
      </x:c>
      <x:c r="D8" s="46" t="n">
        <x:v>158.07155799413042</x:v>
      </x:c>
      <x:c r="E8" s="18" t="n">
        <x:v>4</x:v>
      </x:c>
      <x:c r="F8" s="14" t="str">
        <x:v>LU</x:v>
      </x:c>
      <x:c r="G8" s="14" t="str">
        <x:v>Lúxemborg</x:v>
      </x:c>
      <x:c r="H8" s="19" t="n">
        <x:v>132.8</x:v>
      </x:c>
    </x:row>
    <x:row r="9">
      <x:c r="A9" s="18" t="n">
        <x:v>5</x:v>
      </x:c>
      <x:c r="B9" s="14" t="str">
        <x:v>BG</x:v>
      </x:c>
      <x:c r="C9" s="14" t="str">
        <x:v>Búlgaría</x:v>
      </x:c>
      <x:c r="D9" s="46" t="n">
        <x:v>157.2162079119191</x:v>
      </x:c>
      <x:c r="E9" s="18" t="n">
        <x:v>5</x:v>
      </x:c>
      <x:c r="F9" s="14" t="str">
        <x:v>FI</x:v>
      </x:c>
      <x:c r="G9" s="14" t="str">
        <x:v>Finnland</x:v>
      </x:c>
      <x:c r="H9" s="19" t="n">
        <x:v>123.5</x:v>
      </x:c>
    </x:row>
    <x:row r="10">
      <x:c r="A10" s="18" t="n">
        <x:v>6</x:v>
      </x:c>
      <x:c r="B10" s="14" t="str">
        <x:v>PT</x:v>
      </x:c>
      <x:c r="C10" s="14" t="str">
        <x:v>Portúgal</x:v>
      </x:c>
      <x:c r="D10" s="46" t="n">
        <x:v>145.06326111023247</x:v>
      </x:c>
      <x:c r="E10" s="18" t="n">
        <x:v>6</x:v>
      </x:c>
      <x:c r="F10" s="14" t="str">
        <x:v>BE</x:v>
      </x:c>
      <x:c r="G10" s="14" t="str">
        <x:v>Belgía</x:v>
      </x:c>
      <x:c r="H10" s="19" t="n">
        <x:v>116.5</x:v>
      </x:c>
    </x:row>
    <x:row r="11">
      <x:c r="A11" s="18" t="n">
        <x:v>7</x:v>
      </x:c>
      <x:c r="B11" s="14" t="str">
        <x:v>LT</x:v>
      </x:c>
      <x:c r="C11" s="14" t="str">
        <x:v>Litháen</x:v>
      </x:c>
      <x:c r="D11" s="46" t="n">
        <x:v>136.93406896551724</x:v>
      </x:c>
      <x:c r="E11" s="18" t="n">
        <x:v>7</x:v>
      </x:c>
      <x:c r="F11" s="14" t="str">
        <x:v>NL</x:v>
      </x:c>
      <x:c r="G11" s="14" t="str">
        <x:v>Holland</x:v>
      </x:c>
      <x:c r="H11" s="19" t="n">
        <x:v>116</x:v>
      </x:c>
    </x:row>
    <x:row r="12">
      <x:c r="A12" s="18" t="n">
        <x:v>8</x:v>
      </x:c>
      <x:c r="B12" s="14" t="str">
        <x:v>LV</x:v>
      </x:c>
      <x:c r="C12" s="14" t="str">
        <x:v>Lettland</x:v>
      </x:c>
      <x:c r="D12" s="46" t="n">
        <x:v>129.95323297714688</x:v>
      </x:c>
      <x:c r="E12" s="18" t="n">
        <x:v>8</x:v>
      </x:c>
      <x:c r="F12" s="14" t="str">
        <x:v>SE</x:v>
      </x:c>
      <x:c r="G12" s="14" t="str">
        <x:v>Svíþjóð</x:v>
      </x:c>
      <x:c r="H12" s="19" t="n">
        <x:v>115.1</x:v>
      </x:c>
    </x:row>
    <x:row r="13">
      <x:c r="A13" s="18" t="n">
        <x:v>9</x:v>
      </x:c>
      <x:c r="B13" s="14" t="str">
        <x:v>EE</x:v>
      </x:c>
      <x:c r="C13" s="14" t="str">
        <x:v>Eistland</x:v>
      </x:c>
      <x:c r="D13" s="46" t="n">
        <x:v>129.03736059479556</x:v>
      </x:c>
      <x:c r="E13" s="18" t="n">
        <x:v>9</x:v>
      </x:c>
      <x:c r="F13" s="14" t="str">
        <x:v>AT</x:v>
      </x:c>
      <x:c r="G13" s="14" t="str">
        <x:v>Austurríki</x:v>
      </x:c>
      <x:c r="H13" s="19" t="n">
        <x:v>112.8</x:v>
      </x:c>
    </x:row>
    <x:row r="14">
      <x:c r="A14" s="18" t="n">
        <x:v>10</x:v>
      </x:c>
      <x:c r="B14" s="14" t="str">
        <x:v>HR</x:v>
      </x:c>
      <x:c r="C14" s="14" t="str">
        <x:v>Króatía</x:v>
      </x:c>
      <x:c r="D14" s="46" t="n">
        <x:v>128.1562378483474</x:v>
      </x:c>
      <x:c r="E14" s="18" t="n">
        <x:v>10</x:v>
      </x:c>
      <x:c r="F14" s="14" t="str">
        <x:v>FR</x:v>
      </x:c>
      <x:c r="G14" s="14" t="str">
        <x:v>Frakkland</x:v>
      </x:c>
      <x:c r="H14" s="19" t="n">
        <x:v>111.2</x:v>
      </x:c>
    </x:row>
    <x:row r="15">
      <x:c r="A15" s="18" t="n">
        <x:v>11</x:v>
      </x:c>
      <x:c r="B15" s="14" t="str">
        <x:v>PL</x:v>
      </x:c>
      <x:c r="C15" s="14" t="str">
        <x:v>Pólland</x:v>
      </x:c>
      <x:c r="D15" s="46" t="n">
        <x:v>127.09138495092694</x:v>
      </x:c>
      <x:c r="E15" s="18" t="n">
        <x:v>11</x:v>
      </x:c>
      <x:c r="F15" s="14" t="str">
        <x:v>DE</x:v>
      </x:c>
      <x:c r="G15" s="14" t="str">
        <x:v>Þýskaland</x:v>
      </x:c>
      <x:c r="H15" s="19" t="n">
        <x:v>108.6</x:v>
      </x:c>
    </x:row>
    <x:row r="16">
      <x:c r="A16" s="18" t="n">
        <x:v>12</x:v>
      </x:c>
      <x:c r="B16" s="14" t="str">
        <x:v>CZ</x:v>
      </x:c>
      <x:c r="C16" s="14" t="str">
        <x:v>Tékkland</x:v>
      </x:c>
      <x:c r="D16" s="46" t="n">
        <x:v>114.37761184167053</x:v>
      </x:c>
      <x:c r="E16" s="18" t="n">
        <x:v>12</x:v>
      </x:c>
      <x:c r="F16" s="14" t="str">
        <x:v>EE</x:v>
      </x:c>
      <x:c r="G16" s="14" t="str">
        <x:v>Eistland</x:v>
      </x:c>
      <x:c r="H16" s="19" t="n">
        <x:v>100</x:v>
      </x:c>
    </x:row>
    <x:row r="17">
      <x:c r="A17" s="18" t="n">
        <x:v>13</x:v>
      </x:c>
      <x:c r="B17" s="14" t="str">
        <x:v>IT</x:v>
      </x:c>
      <x:c r="C17" s="14" t="str">
        <x:v>Ítalía</x:v>
      </x:c>
      <x:c r="D17" s="46" t="n">
        <x:v>102.75147779665129</x:v>
      </x:c>
      <x:c r="E17" s="18" t="n">
        <x:v>13</x:v>
      </x:c>
      <x:c r="F17" s="14" t="str">
        <x:v>IT</x:v>
      </x:c>
      <x:c r="G17" s="14" t="str">
        <x:v>Ítalía</x:v>
      </x:c>
      <x:c r="H17" s="19" t="n">
        <x:v>97.5</x:v>
      </x:c>
    </x:row>
    <x:row r="18">
      <x:c r="A18" s="18" t="n">
        <x:v>14</x:v>
      </x:c>
      <x:c r="B18" s="14" t="str">
        <x:v>MT</x:v>
      </x:c>
      <x:c r="C18" s="14" t="str">
        <x:v>Malta</x:v>
      </x:c>
      <x:c r="D18" s="46" t="n">
        <x:v>101.98894472361809</x:v>
      </x:c>
      <x:c r="E18" s="18" t="n">
        <x:v>14</x:v>
      </x:c>
      <x:c r="F18" s="14" t="str">
        <x:v>CY</x:v>
      </x:c>
      <x:c r="G18" s="14" t="str">
        <x:v>Kýpur</x:v>
      </x:c>
      <x:c r="H18" s="19" t="n">
        <x:v>92.8</x:v>
      </x:c>
    </x:row>
    <x:row r="19">
      <x:c r="A19" s="18" t="n">
        <x:v>15</x:v>
      </x:c>
      <x:c r="B19" s="14" t="str">
        <x:v>ES</x:v>
      </x:c>
      <x:c r="C19" s="14" t="str">
        <x:v>Spánn</x:v>
      </x:c>
      <x:c r="D19" s="46" t="n">
        <x:v>101.38744496814627</x:v>
      </x:c>
      <x:c r="E19" s="18" t="n">
        <x:v>15</x:v>
      </x:c>
      <x:c r="F19" s="14" t="str">
        <x:v>MT</x:v>
      </x:c>
      <x:c r="G19" s="14" t="str">
        <x:v>Malta</x:v>
      </x:c>
      <x:c r="H19" s="19" t="n">
        <x:v>91.6</x:v>
      </x:c>
    </x:row>
    <x:row r="20">
      <x:c r="A20" s="18" t="n">
        <x:v>16</x:v>
      </x:c>
      <x:c r="B20" s="14" t="str">
        <x:v>SI</x:v>
      </x:c>
      <x:c r="C20" s="14" t="str">
        <x:v>Slóvenía</x:v>
      </x:c>
      <x:c r="D20" s="46" t="n">
        <x:v>100.10000000000001</x:v>
      </x:c>
      <x:c r="E20" s="18" t="n">
        <x:v>16</x:v>
      </x:c>
      <x:c r="F20" s="14" t="str">
        <x:v>ES</x:v>
      </x:c>
      <x:c r="G20" s="14" t="str">
        <x:v>Spánn</x:v>
      </x:c>
      <x:c r="H20" s="19" t="n">
        <x:v>90.9</x:v>
      </x:c>
    </x:row>
    <x:row r="21">
      <x:c r="A21" s="18" t="n">
        <x:v>17</x:v>
      </x:c>
      <x:c r="B21" s="14" t="str">
        <x:v>CY</x:v>
      </x:c>
      <x:c r="C21" s="14" t="str">
        <x:v>Kýpur</x:v>
      </x:c>
      <x:c r="D21" s="46" t="n">
        <x:v>99.31521339398044</x:v>
      </x:c>
      <x:c r="E21" s="18" t="n">
        <x:v>17</x:v>
      </x:c>
      <x:c r="F21" s="14" t="str">
        <x:v>SI</x:v>
      </x:c>
      <x:c r="G21" s="14" t="str">
        <x:v>Slóvenía</x:v>
      </x:c>
      <x:c r="H21" s="19" t="n">
        <x:v>90.2</x:v>
      </x:c>
    </x:row>
    <x:row r="22">
      <x:c r="A22" s="18" t="n">
        <x:v>18</x:v>
      </x:c>
      <x:c r="B22" s="14" t="str">
        <x:v>SE</x:v>
      </x:c>
      <x:c r="C22" s="14" t="str">
        <x:v>Svíþjóð</x:v>
      </x:c>
      <x:c r="D22" s="46" t="n">
        <x:v>98.62849712056475</x:v>
      </x:c>
      <x:c r="E22" s="18" t="n">
        <x:v>18</x:v>
      </x:c>
      <x:c r="F22" s="14" t="str">
        <x:v>CZ</x:v>
      </x:c>
      <x:c r="G22" s="14" t="str">
        <x:v>Tékkland</x:v>
      </x:c>
      <x:c r="H22" s="19" t="n">
        <x:v>88.4</x:v>
      </x:c>
    </x:row>
    <x:row r="23">
      <x:c r="A23" s="18" t="n">
        <x:v>19</x:v>
      </x:c>
      <x:c r="B23" s="14" t="str">
        <x:v>FI</x:v>
      </x:c>
      <x:c r="C23" s="14" t="str">
        <x:v>Finnland</x:v>
      </x:c>
      <x:c r="D23" s="46" t="n">
        <x:v>95.67596277837801</x:v>
      </x:c>
      <x:c r="E23" s="18" t="n">
        <x:v>19</x:v>
      </x:c>
      <x:c r="F23" s="14" t="str">
        <x:v>PT</x:v>
      </x:c>
      <x:c r="G23" s="14" t="str">
        <x:v>Portúgal</x:v>
      </x:c>
      <x:c r="H23" s="19" t="n">
        <x:v>87</x:v>
      </x:c>
    </x:row>
    <x:row r="24">
      <x:c r="A24" s="18" t="n">
        <x:v>20</x:v>
      </x:c>
      <x:c r="B24" s="14" t="str">
        <x:v>IE</x:v>
      </x:c>
      <x:c r="C24" s="14" t="str">
        <x:v>Írland</x:v>
      </x:c>
      <x:c r="D24" s="46" t="n">
        <x:v>92.30843607063883</x:v>
      </x:c>
      <x:c r="E24" s="18" t="n">
        <x:v>20</x:v>
      </x:c>
      <x:c r="F24" s="14" t="str">
        <x:v>EL</x:v>
      </x:c>
      <x:c r="G24" s="14" t="str">
        <x:v>Grikkland</x:v>
      </x:c>
      <x:c r="H24" s="19" t="n">
        <x:v>86</x:v>
      </x:c>
    </x:row>
    <x:row r="25">
      <x:c r="A25" s="18" t="n">
        <x:v>21</x:v>
      </x:c>
      <x:c r="B25" s="14" t="str">
        <x:v>FR</x:v>
      </x:c>
      <x:c r="C25" s="14" t="str">
        <x:v>Frakkland</x:v>
      </x:c>
      <x:c r="D25" s="46" t="n">
        <x:v>91.11780725437258</x:v>
      </x:c>
      <x:c r="E25" s="18" t="n">
        <x:v>21</x:v>
      </x:c>
      <x:c r="F25" s="14" t="str">
        <x:v>SK</x:v>
      </x:c>
      <x:c r="G25" s="14" t="str">
        <x:v>Slóvakía</x:v>
      </x:c>
      <x:c r="H25" s="19" t="n">
        <x:v>84.7</x:v>
      </x:c>
    </x:row>
    <x:row r="26">
      <x:c r="A26" s="18" t="n">
        <x:v>22</x:v>
      </x:c>
      <x:c r="B26" s="14" t="str">
        <x:v>DK</x:v>
      </x:c>
      <x:c r="C26" s="14" t="str">
        <x:v>Danmörk</x:v>
      </x:c>
      <x:c r="D26" s="46" t="n">
        <x:v>88.45132738283156</x:v>
      </x:c>
      <x:c r="E26" s="18" t="n">
        <x:v>22</x:v>
      </x:c>
      <x:c r="F26" s="14" t="str">
        <x:v>LV</x:v>
      </x:c>
      <x:c r="G26" s="14" t="str">
        <x:v>Lettland</x:v>
      </x:c>
      <x:c r="H26" s="19" t="n">
        <x:v>81.8</x:v>
      </x:c>
    </x:row>
    <x:row r="27">
      <x:c r="A27" s="18" t="n">
        <x:v>23</x:v>
      </x:c>
      <x:c r="B27" s="14" t="str">
        <x:v>DE</x:v>
      </x:c>
      <x:c r="C27" s="14" t="str">
        <x:v>Þýskaland</x:v>
      </x:c>
      <x:c r="D27" s="46" t="n">
        <x:v>85.25276802201383</x:v>
      </x:c>
      <x:c r="E27" s="18" t="n">
        <x:v>23</x:v>
      </x:c>
      <x:c r="F27" s="14" t="str">
        <x:v>LT</x:v>
      </x:c>
      <x:c r="G27" s="14" t="str">
        <x:v>Litháen</x:v>
      </x:c>
      <x:c r="H27" s="19" t="n">
        <x:v>81.6</x:v>
      </x:c>
    </x:row>
    <x:row r="28">
      <x:c r="A28" s="18" t="n">
        <x:v>24</x:v>
      </x:c>
      <x:c r="B28" s="14" t="str">
        <x:v>BE</x:v>
      </x:c>
      <x:c r="C28" s="14" t="str">
        <x:v>Belgía</x:v>
      </x:c>
      <x:c r="D28" s="46" t="n">
        <x:v>84.14187085331407</x:v>
      </x:c>
      <x:c r="E28" s="18" t="n">
        <x:v>24</x:v>
      </x:c>
      <x:c r="F28" s="14" t="str">
        <x:v>HR</x:v>
      </x:c>
      <x:c r="G28" s="14" t="str">
        <x:v>Króatía</x:v>
      </x:c>
      <x:c r="H28" s="19" t="n">
        <x:v>76.3</x:v>
      </x:c>
    </x:row>
    <x:row r="29">
      <x:c r="A29" s="18" t="n">
        <x:v>25</x:v>
      </x:c>
      <x:c r="B29" s="14" t="str">
        <x:v>NL</x:v>
      </x:c>
      <x:c r="C29" s="14" t="str">
        <x:v>Holland</x:v>
      </x:c>
      <x:c r="D29" s="46" t="n">
        <x:v>81.65542040586598</x:v>
      </x:c>
      <x:c r="E29" s="18" t="n">
        <x:v>25</x:v>
      </x:c>
      <x:c r="F29" s="14" t="str">
        <x:v>HU</x:v>
      </x:c>
      <x:c r="G29" s="14" t="str">
        <x:v>Ungverjaland</x:v>
      </x:c>
      <x:c r="H29" s="19" t="n">
        <x:v>73.5</x:v>
      </x:c>
    </x:row>
    <x:row r="30">
      <x:c r="A30" s="18" t="n">
        <x:v>26</x:v>
      </x:c>
      <x:c r="B30" s="14" t="str">
        <x:v>AT</x:v>
      </x:c>
      <x:c r="C30" s="14" t="str">
        <x:v>Austurríki</x:v>
      </x:c>
      <x:c r="D30" s="46" t="n">
        <x:v>77.78878048780489</x:v>
      </x:c>
      <x:c r="E30" s="18" t="n">
        <x:v>26</x:v>
      </x:c>
      <x:c r="F30" s="14" t="str">
        <x:v>PL</x:v>
      </x:c>
      <x:c r="G30" s="14" t="str">
        <x:v>Pólland</x:v>
      </x:c>
      <x:c r="H30" s="19" t="n">
        <x:v>72.2</x:v>
      </x:c>
    </x:row>
    <x:row r="31">
      <x:c r="A31" s="50" t="n">
        <x:v>27</x:v>
      </x:c>
      <x:c r="B31" s="40" t="str">
        <x:v>IS</x:v>
      </x:c>
      <x:c r="C31" s="40" t="str">
        <x:v>Ísland</x:v>
      </x:c>
      <x:c r="D31" s="48" t="n">
        <x:v>71.84979544723443</x:v>
      </x:c>
      <x:c r="E31" s="18" t="n">
        <x:v>27</x:v>
      </x:c>
      <x:c r="F31" s="14" t="str">
        <x:v>RO</x:v>
      </x:c>
      <x:c r="G31" s="14" t="str">
        <x:v>Rúmenía</x:v>
      </x:c>
      <x:c r="H31" s="19" t="n">
        <x:v>63.7</x:v>
      </x:c>
    </x:row>
    <x:row r="32">
      <x:c r="A32" s="18" t="n">
        <x:v>28</x:v>
      </x:c>
      <x:c r="B32" s="14" t="str">
        <x:v>LU</x:v>
      </x:c>
      <x:c r="C32" s="14" t="str">
        <x:v>Lúxemborg</x:v>
      </x:c>
      <x:c r="D32" s="46" t="n">
        <x:v>64.0250280517333</x:v>
      </x:c>
      <x:c r="E32" s="18" t="n">
        <x:v>28</x:v>
      </x:c>
      <x:c r="F32" s="14" t="str">
        <x:v>BG</x:v>
      </x:c>
      <x:c r="G32" s="14" t="str">
        <x:v>Búlgaría</x:v>
      </x:c>
      <x:c r="H32" s="19" t="n">
        <x:v>59.7</x:v>
      </x:c>
    </x:row>
  </x:sheetData>
  <x:mergeCells>
    <x:mergeCell ref="A1:H1"/>
    <x:mergeCell ref="A2:H2"/>
  </x:mergeCells>
  <x:pageMargins left="0.7" right="0.7" top="0.75" bottom="0.75" header="0.3" footer="0.3"/>
</x:worksheet>
</file>